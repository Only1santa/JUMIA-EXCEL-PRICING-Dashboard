
<file path=[Content_Types].xml><?xml version="1.0" encoding="utf-8"?>
<Types xmlns="http://schemas.openxmlformats.org/package/2006/content-types">
  <Default Extension="data" ContentType="application/vnd.openxmlformats-officedocument.model+data"/>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7.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ADMIN\Downloads\"/>
    </mc:Choice>
  </mc:AlternateContent>
  <xr:revisionPtr revIDLastSave="0" documentId="13_ncr:1_{6E7FE99C-C22C-4987-9801-13D06F2404C7}" xr6:coauthVersionLast="47" xr6:coauthVersionMax="47" xr10:uidLastSave="{00000000-0000-0000-0000-000000000000}"/>
  <bookViews>
    <workbookView xWindow="-120" yWindow="-120" windowWidth="29040" windowHeight="16440" firstSheet="4" activeTab="8" xr2:uid="{AFC112EB-D632-48C0-A307-8B0A76A03D7B}"/>
  </bookViews>
  <sheets>
    <sheet name="Disc % and Reviews" sheetId="2" r:id="rId1"/>
    <sheet name="Ratings and reviews" sheetId="3" r:id="rId2"/>
    <sheet name="Highest ratings product" sheetId="6" r:id="rId3"/>
    <sheet name="Lowest Rating Products" sheetId="7" r:id="rId4"/>
    <sheet name="Product With High Discount" sheetId="8" r:id="rId5"/>
    <sheet name="Products With Highest Review" sheetId="11" r:id="rId6"/>
    <sheet name="Dashboard" sheetId="12" r:id="rId7"/>
    <sheet name="Sheet5" sheetId="16" r:id="rId8"/>
    <sheet name="Excel_jumia_dataset (1)" sheetId="1" r:id="rId9"/>
  </sheets>
  <definedNames>
    <definedName name="_xlcn.WorksheetConnection_Excel_jumia_dataset1A1I1131" hidden="1">'Excel_jumia_dataset (1)'!$A$1:$I$113</definedName>
    <definedName name="_xlcn.WorksheetConnection_Excel_jumia_dataset1AI1" hidden="1">'Excel_jumia_dataset (1)'!$A:$I</definedName>
    <definedName name="Slicer_Product">#N/A</definedName>
    <definedName name="Slicer_Rating_Category">#N/A</definedName>
    <definedName name="Slicer_Ratings">#N/A</definedName>
  </definedNames>
  <calcPr calcId="191029"/>
  <pivotCaches>
    <pivotCache cacheId="8" r:id="rId10"/>
    <pivotCache cacheId="351" r:id="rId11"/>
    <pivotCache cacheId="354" r:id="rId12"/>
    <pivotCache cacheId="357" r:id="rId13"/>
    <pivotCache cacheId="360" r:id="rId14"/>
    <pivotCache cacheId="368" r:id="rId15"/>
  </pivotCaches>
  <extLst>
    <ext xmlns:x14="http://schemas.microsoft.com/office/spreadsheetml/2009/9/main" uri="{876F7934-8845-4945-9796-88D515C7AA90}">
      <x14:pivotCaches>
        <pivotCache cacheId="113" r:id="rId16"/>
      </x14:pivotCaches>
    </ext>
    <ext xmlns:x14="http://schemas.microsoft.com/office/spreadsheetml/2009/9/main" uri="{BBE1A952-AA13-448e-AADC-164F8A28A991}">
      <x14:slicerCaches>
        <x14:slicerCache r:id="rId17"/>
        <x14:slicerCache r:id="rId18"/>
        <x14:slicerCache r:id="rId1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1" name="Range 1" connection="WorksheetConnection_Excel_jumia_dataset (1)!$A:$I"/>
          <x15:modelTable id="Range" name="Range" connection="WorksheetConnection_Excel_jumia_dataset (1)!$A$1:$I$113"/>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22" i="1" l="1"/>
  <c r="B121" i="1"/>
  <c r="B120" i="1"/>
  <c r="B119" i="1"/>
  <c r="B118" i="1"/>
  <c r="B117"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2" i="1"/>
  <c r="H113" i="1"/>
  <c r="H111" i="1"/>
  <c r="H110" i="1"/>
  <c r="H109" i="1"/>
  <c r="H108" i="1"/>
  <c r="H107" i="1"/>
  <c r="H106" i="1"/>
  <c r="H105" i="1"/>
  <c r="H104" i="1"/>
  <c r="H103" i="1"/>
  <c r="H102" i="1"/>
  <c r="H101" i="1"/>
  <c r="H100" i="1"/>
  <c r="H99" i="1"/>
  <c r="H98" i="1"/>
  <c r="H97" i="1"/>
  <c r="H96" i="1"/>
  <c r="H95" i="1"/>
  <c r="H94" i="1"/>
  <c r="H93" i="1"/>
  <c r="H92" i="1"/>
  <c r="H91" i="1"/>
  <c r="H90" i="1"/>
  <c r="H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H3" i="1"/>
  <c r="H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F54D0F1-0150-4FBF-96F2-584B155AC92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BC0E6D8D-3EA7-4ABB-9AC6-55BF97B6F687}" name="WorksheetConnection_Excel_jumia_dataset (1)!$A$1:$I$113" type="102" refreshedVersion="8" minRefreshableVersion="5">
    <extLst>
      <ext xmlns:x15="http://schemas.microsoft.com/office/spreadsheetml/2010/11/main" uri="{DE250136-89BD-433C-8126-D09CA5730AF9}">
        <x15:connection id="Range" autoDelete="1">
          <x15:rangePr sourceName="_xlcn.WorksheetConnection_Excel_jumia_dataset1A1I1131"/>
        </x15:connection>
      </ext>
    </extLst>
  </connection>
  <connection id="3" xr16:uid="{E5287DF0-0AE0-411F-8728-2450EDC965E5}" name="WorksheetConnection_Excel_jumia_dataset (1)!$A:$I" type="102" refreshedVersion="8" minRefreshableVersion="5">
    <extLst>
      <ext xmlns:x15="http://schemas.microsoft.com/office/spreadsheetml/2010/11/main" uri="{DE250136-89BD-433C-8126-D09CA5730AF9}">
        <x15:connection id="Range 1" autoDelete="1">
          <x15:rangePr sourceName="_xlcn.WorksheetConnection_Excel_jumia_dataset1AI1"/>
        </x15:connection>
      </ext>
    </extLst>
  </connection>
</connections>
</file>

<file path=xl/sharedStrings.xml><?xml version="1.0" encoding="utf-8"?>
<sst xmlns="http://schemas.openxmlformats.org/spreadsheetml/2006/main" count="206" uniqueCount="157">
  <si>
    <t>Product</t>
  </si>
  <si>
    <t>Current price</t>
  </si>
  <si>
    <t>Discount</t>
  </si>
  <si>
    <t>Review</t>
  </si>
  <si>
    <t>115  Piece Set Of Multifunctional Precision Screwdrivers</t>
  </si>
  <si>
    <t>Metal Decorative Hooks Key Hangers Entryway Wall Hooks Towel Hooks - Home</t>
  </si>
  <si>
    <t>Portable Mini Cordless Car Vacuum Cleaner - Blue</t>
  </si>
  <si>
    <t>Weighing Scale Digital Bathroom Body Fat Scale USB-Black</t>
  </si>
  <si>
    <t>Portable Home Small Air Humidifier 3-Speed Fan - Green</t>
  </si>
  <si>
    <t>220V 60W Electric Soldering Iron Kits With Tools, Tips, And Multimeter</t>
  </si>
  <si>
    <t>137 Pieces Cake Decorating Tool Set Baking Supplies</t>
  </si>
  <si>
    <t>Desk Foldable Fan Adjustable Fan Strong Wind 3 Gear Usb</t>
  </si>
  <si>
    <t>LASA FOLDING TABLE SERVING STAND</t>
  </si>
  <si>
    <t>13 In 1 Home Repair Tools Box Kit Set</t>
  </si>
  <si>
    <t>Genebre 115 In 1 Screwdriver Repairing Tool Set For IPhone Cellphone Hand Tool</t>
  </si>
  <si>
    <t>100 Pcs Crochet Hook Tool Set Knitting Hook Set With Box</t>
  </si>
  <si>
    <t>40cm Gold DIY Acrylic Wall Sticker Clock</t>
  </si>
  <si>
    <t>LASA Digital Thermometer And Hydrometer</t>
  </si>
  <si>
    <t>Multifunction Laser Level With Adjustment Tripod</t>
  </si>
  <si>
    <t>Anti-Skid Absorbent Insulation Coaster  For Home Office</t>
  </si>
  <si>
    <t>Peacock  Throw Pillow Cushion Case For Home Car</t>
  </si>
  <si>
    <t>LASA Aluminum Folding Truck Hand Cart - 68kg Max</t>
  </si>
  <si>
    <t>LED Wall Digital Alarm Clock Study Home 12 / 24H Clock Calendar</t>
  </si>
  <si>
    <t>3D Waterproof EVA Plastic Shower Curtain 1.8*2Mtrs</t>
  </si>
  <si>
    <t>3PCS Single Head Knitting Crochet Sweater Needle Set</t>
  </si>
  <si>
    <t>4pcs Bathroom/Kitchen Towel Rack,Roll Paper Holder,Towel Bars,Hook</t>
  </si>
  <si>
    <t>LED Romantic Spaceship Starry Sky Projector,Children's Bedroom Night Light-Blue</t>
  </si>
  <si>
    <t>Foldable Overbed Table/Desk</t>
  </si>
  <si>
    <t>LASA 3 Tier Bamboo Shoe Bench Storage Shelf</t>
  </si>
  <si>
    <t>Electronic Digital Display Vernier Caliper</t>
  </si>
  <si>
    <t>Portable Wardrobe Nonwoven With 3 Hanging Rods And 6 Storage Shelves</t>
  </si>
  <si>
    <t>12 Litre Black Insulated Lunch Box</t>
  </si>
  <si>
    <t>52 Pieces Cake Decorating Tool Set Gift Kit Baking Supplies</t>
  </si>
  <si>
    <t>MultiFunctional Storage Rack Multi-layer Bookshelf</t>
  </si>
  <si>
    <t>Exfoliate And Exfoliate Face Towel - Black</t>
  </si>
  <si>
    <t>12 Litre Insulated Lunch Box Grey</t>
  </si>
  <si>
    <t>LED Eye Protection  Desk Lamp , Study, Reading, USB Fan - Double Pen Holder</t>
  </si>
  <si>
    <t>53Pcs/Set Yarn Knitting Crochet Hooks With Bag - Fortune Cat</t>
  </si>
  <si>
    <t>53 Pieces/Set Yarn Knitting Crochet Hooks With Bag - Pansies</t>
  </si>
  <si>
    <t>DIY File Folder, Office Drawer File Holder, Pen Holder, Desktop Storage Rack</t>
  </si>
  <si>
    <t>Classic Black Cat Cotton Hemp Pillow Case For Home Car</t>
  </si>
  <si>
    <t>Punch-free Great Load Bearing Bathroom Storage Rack Wall Shelf-White</t>
  </si>
  <si>
    <t>1/2/3 Seater Elastic Sofa Cover,Living Room/Home Decor Chair Cover-Grey</t>
  </si>
  <si>
    <t>LASA Stainless Steel Double Wall Mount Soap Dispenser - 500ml</t>
  </si>
  <si>
    <t>4M Float Switch Water Level Controller -Water Tank</t>
  </si>
  <si>
    <t>Modern Sofa Throw Pillow Cover-45x45cm-Blue&amp;Red</t>
  </si>
  <si>
    <t>Balloon Insert, Birthday Party Balloon Set, PU Leather</t>
  </si>
  <si>
    <t>Shower Cap Wide Elastic Band Cover Reusable Bashroom Cap</t>
  </si>
  <si>
    <t>Christmas Elk Fence Yard Lawn Decorations Cute For Holidays</t>
  </si>
  <si>
    <t>60W Hot Melt Glue Sprayer - Efficient And Stable Glue Dispensing</t>
  </si>
  <si>
    <t>Car Phone Charging Stand</t>
  </si>
  <si>
    <t>2pcs Solar Street Light Flood Light Outdoor</t>
  </si>
  <si>
    <t>Creative Owl Shape Keychain Black</t>
  </si>
  <si>
    <t>Brush &amp; Paintbrush Cleaning Tool Pink</t>
  </si>
  <si>
    <t>Pen Grips For Kids Pen Grip Posture Correction Tool For Kids</t>
  </si>
  <si>
    <t>Pilates Cloth Bag Waterproof Durable High Capacity Purple</t>
  </si>
  <si>
    <t>Multi-purpose Rice Drainage Basket And Fruit And Vegetable Drainage Sieve</t>
  </si>
  <si>
    <t>Cute Christmas Fence Garden Decorations For Holiday Home</t>
  </si>
  <si>
    <t>Simple Metal Dog Art Sculpture Decoration For Home Office</t>
  </si>
  <si>
    <t>Christmas Fence Garden Decorations Outdoor For Holiday Home</t>
  </si>
  <si>
    <t>Angle Measuring Tool Full Metal Multi Angle Measuring Tool</t>
  </si>
  <si>
    <t>12V 19500rpm Handheld Electric Angle Grinder Tool - UK - Yellow/Black</t>
  </si>
  <si>
    <t>5 Pieces/set Of Stainless Steel Induction Cooker Pots</t>
  </si>
  <si>
    <t>Mythco 120COB Solar Wall Ligt With Motion Sensor And Remote Control 3 Modes</t>
  </si>
  <si>
    <t>5-PCS Stainless Steel Cooking Pot Set With Steamed Slices</t>
  </si>
  <si>
    <t>120W Cordless Vacuum Cleaners Handheld Electric Vacuum Cleaner</t>
  </si>
  <si>
    <t>Intelligent  LED Body Sensor Wireless Lighting Night Light USB</t>
  </si>
  <si>
    <t>VIC Wireless Vacuum Cleaner Dual Use For Home And Car 120W High Power Powerful</t>
  </si>
  <si>
    <t>Artificial Potted Flowers Room Decorative Flowers (2 Pieces)</t>
  </si>
  <si>
    <t>380ML USB Rechargeable Portable Small Blenders And Juicers</t>
  </si>
  <si>
    <t>32PCS Portable Cordless Drill Set With Cyclic Battery Drive -26 Variable Speed</t>
  </si>
  <si>
    <t>Agapeon Toothbrush Holder And Toothpaste Dispenser</t>
  </si>
  <si>
    <t>Large Lazy Inflatable Sofa Chairs PVC Lounger Seat Bag</t>
  </si>
  <si>
    <t>Watercolour Gold Foil Textured Print Pillow Cover</t>
  </si>
  <si>
    <t>Wrought Iron Bathroom Shelf Wall Mounted Free Punch Toilet Rack</t>
  </si>
  <si>
    <t>7-piece Set Of Storage Bags, Travel Storage Bags, Shoe Bags</t>
  </si>
  <si>
    <t>Electric LED UV Mosquito Killer Lamp, Outdoor/Indoor Fly Killer Trap Light -USB</t>
  </si>
  <si>
    <t>2PCS/LOT Solar LED Outdoor Intelligent Light Controlled Wall Lamp</t>
  </si>
  <si>
    <t>3PCS Rotary Scraper Thermomix For Kitchen</t>
  </si>
  <si>
    <t>Cushion Silicone Butt Cushion Summer Ice Cushion Honeycomb Gel Cushion</t>
  </si>
  <si>
    <t>7PCS Silicone Thumb Knife Finger Protector Vegetable Harvesting Knife</t>
  </si>
  <si>
    <t>Memory Foam Neck Pillow Cover, With Pillow Core - 50*30cm</t>
  </si>
  <si>
    <t>Bedroom Simple Floor Hanging Clothes Rack Single Pole Hat Rack - White</t>
  </si>
  <si>
    <t>5m Waterproof Spherical LED String Lights Outdoor Ball Chain Lights Party Lighting Decoration Adjustable</t>
  </si>
  <si>
    <t>2 Pairs Cowhide Split Leather Work Gloves.32â„‰ Or Above Welding Gloves</t>
  </si>
  <si>
    <t>Household Pineapple Peeler Peeler</t>
  </si>
  <si>
    <t>Office Chair Lumbar Back Support Spine Posture Correction Pillow Car Cushion</t>
  </si>
  <si>
    <t>Cartoon Car Decoration Cute Individuality For Car Home Desk</t>
  </si>
  <si>
    <t>Outdoor Portable Water Bottle With Medicine Box - 600ML - Black</t>
  </si>
  <si>
    <t>Wall-Mounted Toothbrush Toothpaste Holder With Multiple Slots</t>
  </si>
  <si>
    <t>Multifunctional Hanging Storage Box Storage Bag (4 Layers)</t>
  </si>
  <si>
    <t>Wall Clock With Hidden Safe Box</t>
  </si>
  <si>
    <t>Portable Wine Table With Folding Round Table</t>
  </si>
  <si>
    <t>Sewing Machine Needle Threader Stitch Insertion Tool Automatic Quick Sewing</t>
  </si>
  <si>
    <t>6 Layers Steel Pipe Assembling Dustproof Storage Shoe Cabinet</t>
  </si>
  <si>
    <t>2PCS Ice Silk Square Cushion Cover Pillowcases - 65x65cm</t>
  </si>
  <si>
    <t>Wall Mount Automatic Toothpaste Dispenser Toothbrush Holder Toothpaste Squeezer</t>
  </si>
  <si>
    <t>Portable Soap Dispenser Kitchen Detergent Press Box Kitchen Tools</t>
  </si>
  <si>
    <t>4 Piece Coloured Stainless Steel Kitchenware Set</t>
  </si>
  <si>
    <t>Metal Wall Clock Silver Dial Crystal Jewelry Round Home Decoration Wall Clock</t>
  </si>
  <si>
    <t>Baby Early Education Shape And Color Cognitive Training Toys</t>
  </si>
  <si>
    <t>8in1 Screwdriver With LED Light</t>
  </si>
  <si>
    <t>Konka Healty Electric Kettle, 24-hour Heat Preservation,1.5L,800W, White</t>
  </si>
  <si>
    <t>9pcs Gas Mask, For Painting, Dust, Formaldehyde Grinding, Polishing</t>
  </si>
  <si>
    <t>24 Grid Wall-mounted Sundries Organiser Fabric Closet Bag Storage Rack</t>
  </si>
  <si>
    <t>1PC Refrigerator Food Seal Pocket Fridge Bags</t>
  </si>
  <si>
    <t>LED Solar Street Light-fake Camera</t>
  </si>
  <si>
    <t>Cartoon Embroidered Mini Towel Bear Cotton Wash Cloth Hand 4pcs</t>
  </si>
  <si>
    <t>Shower Nozzle Cleaning Unclogging Needle Mini Crevice Small Hole Cleaning Brush</t>
  </si>
  <si>
    <t>Thickening Multipurpose Non Stick Easy To Clean Heat Resistant Spoon Pad</t>
  </si>
  <si>
    <t>6 In 1 Bottle Can Opener Multifunctional Easy Opener</t>
  </si>
  <si>
    <t>Wall-mounted Sticker Punch-free Plug Fixer</t>
  </si>
  <si>
    <t>Black Simple Water Cup Wine Coaster Anti Slip Absorbent</t>
  </si>
  <si>
    <t>Ratings</t>
  </si>
  <si>
    <t>Old price</t>
  </si>
  <si>
    <t>Absolute Discount</t>
  </si>
  <si>
    <t>Rating Category</t>
  </si>
  <si>
    <t>Poor</t>
  </si>
  <si>
    <t>Descriptive Statistics</t>
  </si>
  <si>
    <t>AVERAGE CURRENT PRICE</t>
  </si>
  <si>
    <t>AVERAGE OLD PRICE</t>
  </si>
  <si>
    <t>AVERAGE Discount Percentage</t>
  </si>
  <si>
    <t>AVERAGE Rating</t>
  </si>
  <si>
    <t>Most Expensive Product</t>
  </si>
  <si>
    <t>Least Expensive Product</t>
  </si>
  <si>
    <t>Row Labels</t>
  </si>
  <si>
    <t>Grand Total</t>
  </si>
  <si>
    <t>Count of Review</t>
  </si>
  <si>
    <t>0.01-0.06</t>
  </si>
  <si>
    <t>0.06-0.11</t>
  </si>
  <si>
    <t>0.11-0.16</t>
  </si>
  <si>
    <t>0.16-0.21</t>
  </si>
  <si>
    <t>0.21-0.26</t>
  </si>
  <si>
    <t>0.26-0.31</t>
  </si>
  <si>
    <t>0.31-0.36</t>
  </si>
  <si>
    <t>0.36-0.41</t>
  </si>
  <si>
    <t>0.41-0.46</t>
  </si>
  <si>
    <t>0.46-0.51</t>
  </si>
  <si>
    <t>0.51-0.56</t>
  </si>
  <si>
    <t>0.61-0.66</t>
  </si>
  <si>
    <t>2.5-3</t>
  </si>
  <si>
    <t>3-3.5</t>
  </si>
  <si>
    <t>3.5-4</t>
  </si>
  <si>
    <t>4-4.5</t>
  </si>
  <si>
    <t>4.5-5</t>
  </si>
  <si>
    <t>Average of Ratings</t>
  </si>
  <si>
    <t>Max of Discount</t>
  </si>
  <si>
    <t>Max of Review</t>
  </si>
  <si>
    <t>&lt;2.5 or (blank)</t>
  </si>
  <si>
    <t>Product Category</t>
  </si>
  <si>
    <t>Column Labels</t>
  </si>
  <si>
    <t>Average</t>
  </si>
  <si>
    <t>Excellent</t>
  </si>
  <si>
    <t>Count of Ratings</t>
  </si>
  <si>
    <t>High Discount</t>
  </si>
  <si>
    <t>Low Discount</t>
  </si>
  <si>
    <t>Medium Discount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</si>
</sst>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9" fontId="0" fillId="0" borderId="0" xfId="0" applyNumberFormat="1"/>
    <xf numFmtId="1" fontId="0" fillId="0" borderId="0" xfId="0" applyNumberFormat="1"/>
    <xf numFmtId="2" fontId="0" fillId="0" borderId="0" xfId="0" applyNumberFormat="1"/>
    <xf numFmtId="9" fontId="0" fillId="0" borderId="0" xfId="1" applyFont="1"/>
    <xf numFmtId="0" fontId="0" fillId="0" borderId="0" xfId="0" pivotButton="1"/>
    <xf numFmtId="0" fontId="0" fillId="0" borderId="0" xfId="0" applyAlignment="1">
      <alignment horizontal="left"/>
    </xf>
    <xf numFmtId="9" fontId="0" fillId="0" borderId="0" xfId="0" applyNumberFormat="1" applyAlignment="1">
      <alignment horizontal="left"/>
    </xf>
    <xf numFmtId="0" fontId="0" fillId="0" borderId="0" xfId="0"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microsoft.com/office/2007/relationships/slicerCache" Target="slicerCaches/slicerCache1.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23" Type="http://schemas.openxmlformats.org/officeDocument/2006/relationships/sharedStrings" Target="sharedStrings.xml"/><Relationship Id="rId10" Type="http://schemas.openxmlformats.org/officeDocument/2006/relationships/pivotCacheDefinition" Target="pivotCache/pivotCacheDefinition1.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[Excel_jumia_dataset (1).xlsx]Ratings and reviews!PivotTable2</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REVIEW BY RATINGS</a:t>
            </a:r>
            <a:endParaRPr lang="en-KE"/>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KE"/>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KE"/>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KE"/>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hade val="50000"/>
            </a:schemeClr>
          </a:solidFill>
          <a:ln>
            <a:noFill/>
          </a:ln>
          <a:effectLst>
            <a:outerShdw blurRad="254000" sx="102000" sy="102000" algn="ctr" rotWithShape="0">
              <a:prstClr val="black">
                <a:alpha val="20000"/>
              </a:prstClr>
            </a:outerShdw>
          </a:effectLst>
        </c:spPr>
      </c:pivotFmt>
      <c:pivotFmt>
        <c:idx val="3"/>
        <c:spPr>
          <a:solidFill>
            <a:schemeClr val="accent1">
              <a:shade val="70000"/>
            </a:schemeClr>
          </a:solidFill>
          <a:ln>
            <a:noFill/>
          </a:ln>
          <a:effectLst>
            <a:outerShdw blurRad="254000" sx="102000" sy="102000" algn="ctr" rotWithShape="0">
              <a:prstClr val="black">
                <a:alpha val="20000"/>
              </a:prstClr>
            </a:outerShdw>
          </a:effectLst>
        </c:spPr>
      </c:pivotFmt>
      <c:pivotFmt>
        <c:idx val="4"/>
        <c:spPr>
          <a:solidFill>
            <a:schemeClr val="accent1">
              <a:shade val="90000"/>
            </a:schemeClr>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tint val="70000"/>
            </a:schemeClr>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'Ratings and reviews'!$B$3</c:f>
              <c:strCache>
                <c:ptCount val="1"/>
                <c:pt idx="0">
                  <c:v>Total</c:v>
                </c:pt>
              </c:strCache>
            </c:strRef>
          </c:tx>
          <c:dPt>
            <c:idx val="0"/>
            <c:bubble3D val="0"/>
            <c:spPr>
              <a:solidFill>
                <a:schemeClr val="accent1">
                  <a:shade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E91-45BB-89B8-B1A8F9925983}"/>
              </c:ext>
            </c:extLst>
          </c:dPt>
          <c:dPt>
            <c:idx val="1"/>
            <c:bubble3D val="0"/>
            <c:spPr>
              <a:solidFill>
                <a:schemeClr val="accent1">
                  <a:shade val="7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E91-45BB-89B8-B1A8F9925983}"/>
              </c:ext>
            </c:extLst>
          </c:dPt>
          <c:dPt>
            <c:idx val="2"/>
            <c:bubble3D val="0"/>
            <c:spPr>
              <a:solidFill>
                <a:schemeClr val="accent1">
                  <a:shade val="9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3E91-45BB-89B8-B1A8F9925983}"/>
              </c:ext>
            </c:extLst>
          </c:dPt>
          <c:dPt>
            <c:idx val="3"/>
            <c:bubble3D val="0"/>
            <c:spPr>
              <a:solidFill>
                <a:schemeClr val="accent1">
                  <a:tint val="9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3E91-45BB-89B8-B1A8F9925983}"/>
              </c:ext>
            </c:extLst>
          </c:dPt>
          <c:dPt>
            <c:idx val="4"/>
            <c:bubble3D val="0"/>
            <c:spPr>
              <a:solidFill>
                <a:schemeClr val="accent1">
                  <a:tint val="7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3E91-45BB-89B8-B1A8F9925983}"/>
              </c:ext>
            </c:extLst>
          </c:dPt>
          <c:dPt>
            <c:idx val="5"/>
            <c:bubble3D val="0"/>
            <c:spPr>
              <a:solidFill>
                <a:schemeClr val="accent1">
                  <a:tint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3E91-45BB-89B8-B1A8F992598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KE"/>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'Ratings and reviews'!$A$4:$A$10</c:f>
              <c:strCache>
                <c:ptCount val="6"/>
                <c:pt idx="0">
                  <c:v>&lt;2.5 or (blank)</c:v>
                </c:pt>
                <c:pt idx="1">
                  <c:v>2.5-3</c:v>
                </c:pt>
                <c:pt idx="2">
                  <c:v>3-3.5</c:v>
                </c:pt>
                <c:pt idx="3">
                  <c:v>3.5-4</c:v>
                </c:pt>
                <c:pt idx="4">
                  <c:v>4-4.5</c:v>
                </c:pt>
                <c:pt idx="5">
                  <c:v>4.5-5</c:v>
                </c:pt>
              </c:strCache>
            </c:strRef>
          </c:cat>
          <c:val>
            <c:numRef>
              <c:f>'Ratings and reviews'!$B$4:$B$10</c:f>
              <c:numCache>
                <c:formatCode>General</c:formatCode>
                <c:ptCount val="6"/>
                <c:pt idx="0">
                  <c:v>7</c:v>
                </c:pt>
                <c:pt idx="1">
                  <c:v>5</c:v>
                </c:pt>
                <c:pt idx="2">
                  <c:v>6</c:v>
                </c:pt>
                <c:pt idx="3">
                  <c:v>3</c:v>
                </c:pt>
                <c:pt idx="4">
                  <c:v>13</c:v>
                </c:pt>
                <c:pt idx="5">
                  <c:v>23</c:v>
                </c:pt>
              </c:numCache>
            </c:numRef>
          </c:val>
          <c:extLst>
            <c:ext xmlns:c16="http://schemas.microsoft.com/office/drawing/2014/chart" uri="{C3380CC4-5D6E-409C-BE32-E72D297353CC}">
              <c16:uniqueId val="{0000000C-3E91-45BB-89B8-B1A8F9925983}"/>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[Excel_jumia_dataset (1).xlsx]Disc % and Reviews!PivotTable1</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REVIEW PER DISCOUNT RATE</a:t>
            </a:r>
            <a:endParaRPr lang="en-KE"/>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KE"/>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317184036206004"/>
          <c:y val="0.26215562860467684"/>
          <c:w val="0.60463100007235937"/>
          <c:h val="0.63342897671771614"/>
        </c:manualLayout>
      </c:layout>
      <c:barChart>
        <c:barDir val="bar"/>
        <c:grouping val="clustered"/>
        <c:varyColors val="0"/>
        <c:ser>
          <c:idx val="0"/>
          <c:order val="0"/>
          <c:tx>
            <c:strRef>
              <c:f>'Disc % and Reviews'!$B$3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KE"/>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'Disc % and Reviews'!$A$4:$A$16</c:f>
              <c:strCache>
                <c:ptCount val="12"/>
                <c:pt idx="0">
                  <c:v>0.01-0.06</c:v>
                </c:pt>
                <c:pt idx="1">
                  <c:v>0.06-0.11</c:v>
                </c:pt>
                <c:pt idx="2">
                  <c:v>0.11-0.16</c:v>
                </c:pt>
                <c:pt idx="3">
                  <c:v>0.16-0.21</c:v>
                </c:pt>
                <c:pt idx="4">
                  <c:v>0.21-0.26</c:v>
                </c:pt>
                <c:pt idx="5">
                  <c:v>0.26-0.31</c:v>
                </c:pt>
                <c:pt idx="6">
                  <c:v>0.31-0.36</c:v>
                </c:pt>
                <c:pt idx="7">
                  <c:v>0.36-0.41</c:v>
                </c:pt>
                <c:pt idx="8">
                  <c:v>0.41-0.46</c:v>
                </c:pt>
                <c:pt idx="9">
                  <c:v>0.46-0.51</c:v>
                </c:pt>
                <c:pt idx="10">
                  <c:v>0.51-0.56</c:v>
                </c:pt>
                <c:pt idx="11">
                  <c:v>0.61-0.66</c:v>
                </c:pt>
              </c:strCache>
            </c:strRef>
          </c:cat>
          <c:val>
            <c:numRef>
              <c:f>'Disc % and Reviews'!$B$4:$B$16</c:f>
              <c:numCache>
                <c:formatCode>General</c:formatCode>
                <c:ptCount val="12"/>
                <c:pt idx="1">
                  <c:v>1</c:v>
                </c:pt>
                <c:pt idx="2">
                  <c:v>1</c:v>
                </c:pt>
                <c:pt idx="3">
                  <c:v>3</c:v>
                </c:pt>
                <c:pt idx="4">
                  <c:v>5</c:v>
                </c:pt>
                <c:pt idx="5">
                  <c:v>5</c:v>
                </c:pt>
                <c:pt idx="6">
                  <c:v>6</c:v>
                </c:pt>
                <c:pt idx="7">
                  <c:v>6</c:v>
                </c:pt>
                <c:pt idx="8">
                  <c:v>7</c:v>
                </c:pt>
                <c:pt idx="9">
                  <c:v>14</c:v>
                </c:pt>
                <c:pt idx="10">
                  <c:v>9</c:v>
                </c:pt>
              </c:numCache>
            </c:numRef>
          </c:val>
          <c:extLst>
            <c:ext xmlns:c16="http://schemas.microsoft.com/office/drawing/2014/chart" uri="{C3380CC4-5D6E-409C-BE32-E72D297353CC}">
              <c16:uniqueId val="{00000000-9C1B-4624-97A3-25A745743A29}"/>
            </c:ext>
          </c:extLst>
        </c:ser>
        <c:dLbls>
          <c:dLblPos val="inEnd"/>
          <c:showLegendKey val="0"/>
          <c:showVal val="1"/>
          <c:showCatName val="0"/>
          <c:showSerName val="0"/>
          <c:showPercent val="0"/>
          <c:showBubbleSize val="0"/>
        </c:dLbls>
        <c:gapWidth val="65"/>
        <c:axId val="543807352"/>
        <c:axId val="543808792"/>
      </c:barChart>
      <c:catAx>
        <c:axId val="54380735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KE"/>
          </a:p>
        </c:txPr>
        <c:crossAx val="543808792"/>
        <c:crosses val="autoZero"/>
        <c:auto val="1"/>
        <c:lblAlgn val="ctr"/>
        <c:lblOffset val="100"/>
        <c:noMultiLvlLbl val="0"/>
      </c:catAx>
      <c:valAx>
        <c:axId val="543808792"/>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KE"/>
          </a:p>
        </c:txPr>
        <c:crossAx val="543807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[Excel_jumia_dataset (1).xlsx]Products With Highest Review!PivotTable6</c:name>
    <c:fmtId val="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KE"/>
              <a:t>T</a:t>
            </a:r>
            <a:r>
              <a:rPr lang="en-US"/>
              <a:t>OP 10 REVIEWED PRODUCTS</a:t>
            </a:r>
          </a:p>
          <a:p>
            <a:pPr>
              <a:defRPr/>
            </a:pPr>
            <a:endParaRPr lang="en-KE"/>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KE"/>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'Products With Highest Review'!$B$3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'Products With Highest Review'!$A$4:$A$14</c:f>
              <c:strCache>
                <c:ptCount val="10"/>
                <c:pt idx="0">
                  <c:v>120W Cordless Vacuum Cleaners Handheld Electric Vacuum Cleaner</c:v>
                </c:pt>
                <c:pt idx="1">
                  <c:v>137 Pieces Cake Decorating Tool Set Baking Supplies</c:v>
                </c:pt>
                <c:pt idx="2">
                  <c:v>Electronic Digital Display Vernier Caliper</c:v>
                </c:pt>
                <c:pt idx="3">
                  <c:v>3D Waterproof EVA Plastic Shower Curtain 1.8*2Mtrs</c:v>
                </c:pt>
                <c:pt idx="4">
                  <c:v>100 Pcs Crochet Hook Tool Set Knitting Hook Set With Box</c:v>
                </c:pt>
                <c:pt idx="5">
                  <c:v>Punch-free Great Load Bearing Bathroom Storage Rack Wall Shelf-White</c:v>
                </c:pt>
                <c:pt idx="6">
                  <c:v>53 Pieces/Set Yarn Knitting Crochet Hooks With Bag - Pansies</c:v>
                </c:pt>
                <c:pt idx="7">
                  <c:v>Portable Mini Cordless Car Vacuum Cleaner - Blue</c:v>
                </c:pt>
                <c:pt idx="8">
                  <c:v>53Pcs/Set Yarn Knitting Crochet Hooks With Bag - Fortune Cat</c:v>
                </c:pt>
                <c:pt idx="9">
                  <c:v>52 Pieces Cake Decorating Tool Set Gift Kit Baking Supplies</c:v>
                </c:pt>
              </c:strCache>
            </c:strRef>
          </c:cat>
          <c:val>
            <c:numRef>
              <c:f>'Products With Highest Review'!$B$4:$B$14</c:f>
              <c:numCache>
                <c:formatCode>General</c:formatCode>
                <c:ptCount val="10"/>
                <c:pt idx="0">
                  <c:v>69</c:v>
                </c:pt>
                <c:pt idx="1">
                  <c:v>55</c:v>
                </c:pt>
                <c:pt idx="2">
                  <c:v>49</c:v>
                </c:pt>
                <c:pt idx="3">
                  <c:v>44</c:v>
                </c:pt>
                <c:pt idx="4">
                  <c:v>39</c:v>
                </c:pt>
                <c:pt idx="5">
                  <c:v>36</c:v>
                </c:pt>
                <c:pt idx="6">
                  <c:v>32</c:v>
                </c:pt>
                <c:pt idx="7">
                  <c:v>24</c:v>
                </c:pt>
                <c:pt idx="8">
                  <c:v>20</c:v>
                </c:pt>
                <c:pt idx="9">
                  <c:v>20</c:v>
                </c:pt>
              </c:numCache>
            </c:numRef>
          </c:val>
          <c:extLst>
            <c:ext xmlns:c16="http://schemas.microsoft.com/office/drawing/2014/chart" uri="{C3380CC4-5D6E-409C-BE32-E72D297353CC}">
              <c16:uniqueId val="{00000000-4140-406D-A3E9-0F75640B5E67}"/>
            </c:ext>
          </c:extLst>
        </c:ser>
        <c:dLbls>
          <c:showLegendKey val="0"/>
          <c:showVal val="0"/>
          <c:showCatName val="0"/>
          <c:showSerName val="0"/>
          <c:showPercent val="0"/>
          <c:showBubbleSize val="0"/>
        </c:dLbls>
        <c:gapWidth val="150"/>
        <c:shape val="box"/>
        <c:axId val="678582824"/>
        <c:axId val="689981264"/>
        <c:axId val="0"/>
      </c:bar3DChart>
      <c:catAx>
        <c:axId val="67858282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689981264"/>
        <c:crosses val="autoZero"/>
        <c:auto val="1"/>
        <c:lblAlgn val="ctr"/>
        <c:lblOffset val="100"/>
        <c:noMultiLvlLbl val="0"/>
      </c:catAx>
      <c:valAx>
        <c:axId val="689981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678582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emf"/><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123825</xdr:rowOff>
    </xdr:from>
    <xdr:to>
      <xdr:col>30</xdr:col>
      <xdr:colOff>0</xdr:colOff>
      <xdr:row>49</xdr:row>
      <xdr:rowOff>104775</xdr:rowOff>
    </xdr:to>
    <xdr:sp macro="" textlink="">
      <xdr:nvSpPr>
        <xdr:cNvPr id="3" name="Rectangle 2">
          <a:extLst>
            <a:ext uri="{FF2B5EF4-FFF2-40B4-BE49-F238E27FC236}">
              <a16:creationId xmlns:a16="http://schemas.microsoft.com/office/drawing/2014/main" id="{AB001E36-6265-C287-1496-99243FBB8726}"/>
            </a:ext>
          </a:extLst>
        </xdr:cNvPr>
        <xdr:cNvSpPr/>
      </xdr:nvSpPr>
      <xdr:spPr>
        <a:xfrm>
          <a:off x="0" y="123825"/>
          <a:ext cx="18288000" cy="9315450"/>
        </a:xfrm>
        <a:prstGeom prst="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KE" sz="1100"/>
        </a:p>
      </xdr:txBody>
    </xdr:sp>
    <xdr:clientData/>
  </xdr:twoCellAnchor>
  <xdr:twoCellAnchor>
    <xdr:from>
      <xdr:col>8</xdr:col>
      <xdr:colOff>533399</xdr:colOff>
      <xdr:row>0</xdr:row>
      <xdr:rowOff>85726</xdr:rowOff>
    </xdr:from>
    <xdr:to>
      <xdr:col>19</xdr:col>
      <xdr:colOff>66675</xdr:colOff>
      <xdr:row>4</xdr:row>
      <xdr:rowOff>171450</xdr:rowOff>
    </xdr:to>
    <xdr:sp macro="" textlink="">
      <xdr:nvSpPr>
        <xdr:cNvPr id="4" name="Rectangle: Rounded Corners 3">
          <a:extLst>
            <a:ext uri="{FF2B5EF4-FFF2-40B4-BE49-F238E27FC236}">
              <a16:creationId xmlns:a16="http://schemas.microsoft.com/office/drawing/2014/main" id="{E72B40E5-BC43-A9A2-EEFC-2AD9D8EA16B2}"/>
            </a:ext>
          </a:extLst>
        </xdr:cNvPr>
        <xdr:cNvSpPr/>
      </xdr:nvSpPr>
      <xdr:spPr>
        <a:xfrm>
          <a:off x="5410199" y="85726"/>
          <a:ext cx="6238876" cy="84772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a:solidFill>
                <a:schemeClr val="accent4">
                  <a:lumMod val="40000"/>
                  <a:lumOff val="60000"/>
                </a:schemeClr>
              </a:solidFill>
            </a:rPr>
            <a:t>JUMIA</a:t>
          </a:r>
          <a:r>
            <a:rPr lang="en-US" sz="2000" baseline="0">
              <a:solidFill>
                <a:schemeClr val="accent4">
                  <a:lumMod val="40000"/>
                  <a:lumOff val="60000"/>
                </a:schemeClr>
              </a:solidFill>
            </a:rPr>
            <a:t> PRICING AND DISCOUNT ANALYTICS DASHBOARD</a:t>
          </a:r>
          <a:endParaRPr lang="en-KE" sz="2000">
            <a:solidFill>
              <a:schemeClr val="accent4">
                <a:lumMod val="40000"/>
                <a:lumOff val="60000"/>
              </a:schemeClr>
            </a:solidFill>
          </a:endParaRPr>
        </a:p>
      </xdr:txBody>
    </xdr:sp>
    <xdr:clientData/>
  </xdr:twoCellAnchor>
  <xdr:twoCellAnchor>
    <xdr:from>
      <xdr:col>7</xdr:col>
      <xdr:colOff>247649</xdr:colOff>
      <xdr:row>5</xdr:row>
      <xdr:rowOff>133351</xdr:rowOff>
    </xdr:from>
    <xdr:to>
      <xdr:col>10</xdr:col>
      <xdr:colOff>9524</xdr:colOff>
      <xdr:row>8</xdr:row>
      <xdr:rowOff>180975</xdr:rowOff>
    </xdr:to>
    <xdr:sp macro="" textlink="">
      <xdr:nvSpPr>
        <xdr:cNvPr id="5" name="Rectangle: Rounded Corners 4">
          <a:extLst>
            <a:ext uri="{FF2B5EF4-FFF2-40B4-BE49-F238E27FC236}">
              <a16:creationId xmlns:a16="http://schemas.microsoft.com/office/drawing/2014/main" id="{A42C57A2-E089-2FF3-9272-9B8C894756D1}"/>
            </a:ext>
          </a:extLst>
        </xdr:cNvPr>
        <xdr:cNvSpPr/>
      </xdr:nvSpPr>
      <xdr:spPr>
        <a:xfrm>
          <a:off x="4514849" y="1085851"/>
          <a:ext cx="1590675" cy="619124"/>
        </a:xfrm>
        <a:prstGeom prst="roundRect">
          <a:avLst/>
        </a:prstGeom>
        <a:solidFill>
          <a:schemeClr val="accent1"/>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US" sz="1400">
              <a:solidFill>
                <a:schemeClr val="accent4">
                  <a:lumMod val="60000"/>
                  <a:lumOff val="40000"/>
                </a:schemeClr>
              </a:solidFill>
            </a:rPr>
            <a:t>TOTAL</a:t>
          </a:r>
          <a:r>
            <a:rPr lang="en-US" sz="1200"/>
            <a:t> </a:t>
          </a:r>
          <a:r>
            <a:rPr lang="en-US" sz="1400">
              <a:solidFill>
                <a:schemeClr val="accent4">
                  <a:lumMod val="60000"/>
                  <a:lumOff val="40000"/>
                </a:schemeClr>
              </a:solidFill>
            </a:rPr>
            <a:t>PRODUCTS</a:t>
          </a:r>
          <a:r>
            <a:rPr lang="en-US" sz="1200"/>
            <a:t>   </a:t>
          </a:r>
          <a:r>
            <a:rPr lang="en-US" sz="1400">
              <a:solidFill>
                <a:schemeClr val="accent4">
                  <a:lumMod val="60000"/>
                  <a:lumOff val="40000"/>
                </a:schemeClr>
              </a:solidFill>
            </a:rPr>
            <a:t>113</a:t>
          </a:r>
          <a:r>
            <a:rPr lang="en-US" sz="1200"/>
            <a:t> </a:t>
          </a:r>
          <a:r>
            <a:rPr lang="en-US" sz="1200" baseline="0"/>
            <a:t>                      </a:t>
          </a:r>
          <a:endParaRPr lang="en-US" sz="1200"/>
        </a:p>
      </xdr:txBody>
    </xdr:sp>
    <xdr:clientData/>
  </xdr:twoCellAnchor>
  <xdr:twoCellAnchor>
    <xdr:from>
      <xdr:col>10</xdr:col>
      <xdr:colOff>161926</xdr:colOff>
      <xdr:row>5</xdr:row>
      <xdr:rowOff>133350</xdr:rowOff>
    </xdr:from>
    <xdr:to>
      <xdr:col>12</xdr:col>
      <xdr:colOff>533400</xdr:colOff>
      <xdr:row>8</xdr:row>
      <xdr:rowOff>152400</xdr:rowOff>
    </xdr:to>
    <xdr:sp macro="" textlink="">
      <xdr:nvSpPr>
        <xdr:cNvPr id="8" name="Rectangle: Rounded Corners 7">
          <a:extLst>
            <a:ext uri="{FF2B5EF4-FFF2-40B4-BE49-F238E27FC236}">
              <a16:creationId xmlns:a16="http://schemas.microsoft.com/office/drawing/2014/main" id="{36F4B55C-ACF9-F020-1BCD-DC7A29D36BE6}"/>
            </a:ext>
          </a:extLst>
        </xdr:cNvPr>
        <xdr:cNvSpPr/>
      </xdr:nvSpPr>
      <xdr:spPr>
        <a:xfrm>
          <a:off x="6257926" y="1085850"/>
          <a:ext cx="1590674" cy="5905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solidFill>
                <a:schemeClr val="accent4">
                  <a:lumMod val="60000"/>
                  <a:lumOff val="40000"/>
                </a:schemeClr>
              </a:solidFill>
            </a:rPr>
            <a:t>AVERAGE</a:t>
          </a:r>
          <a:r>
            <a:rPr lang="en-US" sz="1100" baseline="0"/>
            <a:t> </a:t>
          </a:r>
          <a:r>
            <a:rPr lang="en-US" sz="1400" baseline="0">
              <a:solidFill>
                <a:schemeClr val="accent4">
                  <a:lumMod val="60000"/>
                  <a:lumOff val="40000"/>
                </a:schemeClr>
              </a:solidFill>
            </a:rPr>
            <a:t>RATING</a:t>
          </a:r>
          <a:r>
            <a:rPr lang="en-US" sz="1100" baseline="0"/>
            <a:t> </a:t>
          </a:r>
          <a:r>
            <a:rPr lang="en-KE" sz="1400" b="0" i="0" u="none" strike="noStrike">
              <a:solidFill>
                <a:schemeClr val="accent4">
                  <a:lumMod val="60000"/>
                  <a:lumOff val="40000"/>
                </a:schemeClr>
              </a:solidFill>
              <a:effectLst/>
              <a:latin typeface="+mn-lt"/>
              <a:ea typeface="+mn-ea"/>
              <a:cs typeface="+mn-cs"/>
            </a:rPr>
            <a:t>3.889473684</a:t>
          </a:r>
          <a:r>
            <a:rPr lang="en-KE">
              <a:effectLst/>
            </a:rPr>
            <a:t> </a:t>
          </a:r>
          <a:endParaRPr lang="en-KE" sz="1100"/>
        </a:p>
      </xdr:txBody>
    </xdr:sp>
    <xdr:clientData/>
  </xdr:twoCellAnchor>
  <xdr:twoCellAnchor>
    <xdr:from>
      <xdr:col>13</xdr:col>
      <xdr:colOff>95251</xdr:colOff>
      <xdr:row>5</xdr:row>
      <xdr:rowOff>123825</xdr:rowOff>
    </xdr:from>
    <xdr:to>
      <xdr:col>16</xdr:col>
      <xdr:colOff>466725</xdr:colOff>
      <xdr:row>8</xdr:row>
      <xdr:rowOff>142875</xdr:rowOff>
    </xdr:to>
    <xdr:sp macro="" textlink="">
      <xdr:nvSpPr>
        <xdr:cNvPr id="9" name="Rectangle: Rounded Corners 8">
          <a:extLst>
            <a:ext uri="{FF2B5EF4-FFF2-40B4-BE49-F238E27FC236}">
              <a16:creationId xmlns:a16="http://schemas.microsoft.com/office/drawing/2014/main" id="{E607E57F-97E2-FFF7-40A9-67B001E2371F}"/>
            </a:ext>
          </a:extLst>
        </xdr:cNvPr>
        <xdr:cNvSpPr/>
      </xdr:nvSpPr>
      <xdr:spPr>
        <a:xfrm>
          <a:off x="8020051" y="1076325"/>
          <a:ext cx="2200274" cy="5905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solidFill>
                <a:schemeClr val="accent4">
                  <a:lumMod val="60000"/>
                  <a:lumOff val="40000"/>
                </a:schemeClr>
              </a:solidFill>
            </a:rPr>
            <a:t>AVERAGE</a:t>
          </a:r>
          <a:r>
            <a:rPr lang="en-US" sz="1100"/>
            <a:t> </a:t>
          </a:r>
          <a:r>
            <a:rPr lang="en-US" sz="1400">
              <a:solidFill>
                <a:schemeClr val="accent4">
                  <a:lumMod val="60000"/>
                  <a:lumOff val="40000"/>
                </a:schemeClr>
              </a:solidFill>
            </a:rPr>
            <a:t>DISCOUNT</a:t>
          </a:r>
          <a:r>
            <a:rPr lang="en-US" sz="1100"/>
            <a:t> </a:t>
          </a:r>
          <a:r>
            <a:rPr lang="en-US" sz="1400">
              <a:solidFill>
                <a:schemeClr val="accent4">
                  <a:lumMod val="60000"/>
                  <a:lumOff val="40000"/>
                </a:schemeClr>
              </a:solidFill>
            </a:rPr>
            <a:t>RATE</a:t>
          </a:r>
          <a:r>
            <a:rPr lang="en-US" sz="1100"/>
            <a:t>  </a:t>
          </a:r>
          <a:r>
            <a:rPr lang="en-KE" sz="1400" b="0" i="0" u="none" strike="noStrike">
              <a:solidFill>
                <a:schemeClr val="accent4">
                  <a:lumMod val="60000"/>
                  <a:lumOff val="40000"/>
                </a:schemeClr>
              </a:solidFill>
              <a:effectLst/>
              <a:latin typeface="+mn-lt"/>
              <a:ea typeface="+mn-ea"/>
              <a:cs typeface="+mn-cs"/>
            </a:rPr>
            <a:t>37</a:t>
          </a:r>
          <a:r>
            <a:rPr lang="en-KE" sz="1100" b="0" i="0" u="none" strike="noStrike">
              <a:solidFill>
                <a:schemeClr val="lt1"/>
              </a:solidFill>
              <a:effectLst/>
              <a:latin typeface="+mn-lt"/>
              <a:ea typeface="+mn-ea"/>
              <a:cs typeface="+mn-cs"/>
            </a:rPr>
            <a:t>%</a:t>
          </a:r>
          <a:r>
            <a:rPr lang="en-KE">
              <a:effectLst/>
            </a:rPr>
            <a:t> </a:t>
          </a:r>
          <a:endParaRPr lang="en-KE" sz="1100"/>
        </a:p>
      </xdr:txBody>
    </xdr:sp>
    <xdr:clientData/>
  </xdr:twoCellAnchor>
  <xdr:twoCellAnchor>
    <xdr:from>
      <xdr:col>17</xdr:col>
      <xdr:colOff>9526</xdr:colOff>
      <xdr:row>5</xdr:row>
      <xdr:rowOff>95252</xdr:rowOff>
    </xdr:from>
    <xdr:to>
      <xdr:col>19</xdr:col>
      <xdr:colOff>457200</xdr:colOff>
      <xdr:row>8</xdr:row>
      <xdr:rowOff>142876</xdr:rowOff>
    </xdr:to>
    <xdr:sp macro="" textlink="">
      <xdr:nvSpPr>
        <xdr:cNvPr id="10" name="Rectangle: Rounded Corners 9">
          <a:extLst>
            <a:ext uri="{FF2B5EF4-FFF2-40B4-BE49-F238E27FC236}">
              <a16:creationId xmlns:a16="http://schemas.microsoft.com/office/drawing/2014/main" id="{92A859D1-FAAB-A2D1-1DEC-5A1F1027A5D9}"/>
            </a:ext>
          </a:extLst>
        </xdr:cNvPr>
        <xdr:cNvSpPr/>
      </xdr:nvSpPr>
      <xdr:spPr>
        <a:xfrm>
          <a:off x="10372726" y="1047752"/>
          <a:ext cx="1666874" cy="619124"/>
        </a:xfrm>
        <a:prstGeom prst="roundRect">
          <a:avLst/>
        </a:prstGeom>
        <a:solidFill>
          <a:schemeClr val="accent1"/>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US" sz="1400">
              <a:solidFill>
                <a:schemeClr val="accent4">
                  <a:lumMod val="60000"/>
                  <a:lumOff val="40000"/>
                </a:schemeClr>
              </a:solidFill>
            </a:rPr>
            <a:t>TOTAL</a:t>
          </a:r>
          <a:r>
            <a:rPr lang="en-US" sz="1100"/>
            <a:t> </a:t>
          </a:r>
          <a:r>
            <a:rPr lang="en-US" sz="1400">
              <a:solidFill>
                <a:schemeClr val="accent4">
                  <a:lumMod val="60000"/>
                  <a:lumOff val="40000"/>
                </a:schemeClr>
              </a:solidFill>
            </a:rPr>
            <a:t>REVIEWS</a:t>
          </a:r>
          <a:r>
            <a:rPr lang="en-US" sz="1100" baseline="0"/>
            <a:t> </a:t>
          </a:r>
          <a:endParaRPr lang="en-US" sz="1100" b="0" i="0" u="none" strike="noStrike" baseline="0">
            <a:solidFill>
              <a:schemeClr val="lt1"/>
            </a:solidFill>
            <a:effectLst/>
            <a:latin typeface="+mn-lt"/>
            <a:ea typeface="+mn-ea"/>
            <a:cs typeface="+mn-cs"/>
          </a:endParaRPr>
        </a:p>
        <a:p>
          <a:pPr algn="l"/>
          <a:r>
            <a:rPr lang="en-US" sz="1100" b="0" i="0" u="none" strike="noStrike" baseline="0">
              <a:solidFill>
                <a:schemeClr val="lt1"/>
              </a:solidFill>
              <a:effectLst/>
              <a:latin typeface="+mn-lt"/>
              <a:ea typeface="+mn-ea"/>
              <a:cs typeface="+mn-cs"/>
            </a:rPr>
            <a:t> </a:t>
          </a:r>
          <a:r>
            <a:rPr lang="en-KE">
              <a:effectLst/>
            </a:rPr>
            <a:t> </a:t>
          </a:r>
          <a:r>
            <a:rPr lang="en-KE" sz="1400" b="0" i="0" u="none" strike="noStrike">
              <a:solidFill>
                <a:schemeClr val="accent4">
                  <a:lumMod val="60000"/>
                  <a:lumOff val="40000"/>
                </a:schemeClr>
              </a:solidFill>
              <a:effectLst/>
              <a:latin typeface="+mn-lt"/>
              <a:ea typeface="+mn-ea"/>
              <a:cs typeface="+mn-cs"/>
            </a:rPr>
            <a:t>723</a:t>
          </a:r>
          <a:endParaRPr lang="en-KE" sz="1400">
            <a:solidFill>
              <a:schemeClr val="accent4">
                <a:lumMod val="60000"/>
                <a:lumOff val="40000"/>
              </a:schemeClr>
            </a:solidFill>
          </a:endParaRPr>
        </a:p>
      </xdr:txBody>
    </xdr:sp>
    <xdr:clientData/>
  </xdr:twoCellAnchor>
  <xdr:twoCellAnchor editAs="oneCell">
    <xdr:from>
      <xdr:col>0</xdr:col>
      <xdr:colOff>0</xdr:colOff>
      <xdr:row>0</xdr:row>
      <xdr:rowOff>0</xdr:rowOff>
    </xdr:from>
    <xdr:to>
      <xdr:col>1</xdr:col>
      <xdr:colOff>142875</xdr:colOff>
      <xdr:row>1</xdr:row>
      <xdr:rowOff>9525</xdr:rowOff>
    </xdr:to>
    <xdr:pic>
      <xdr:nvPicPr>
        <xdr:cNvPr id="11" name="Picture 10">
          <a:extLst>
            <a:ext uri="{FF2B5EF4-FFF2-40B4-BE49-F238E27FC236}">
              <a16:creationId xmlns:a16="http://schemas.microsoft.com/office/drawing/2014/main" id="{26E3B2EB-4E94-0732-A6C9-C4947E394A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52475"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1</xdr:col>
      <xdr:colOff>142875</xdr:colOff>
      <xdr:row>1</xdr:row>
      <xdr:rowOff>9525</xdr:rowOff>
    </xdr:to>
    <xdr:pic>
      <xdr:nvPicPr>
        <xdr:cNvPr id="12" name="Picture 11">
          <a:extLst>
            <a:ext uri="{FF2B5EF4-FFF2-40B4-BE49-F238E27FC236}">
              <a16:creationId xmlns:a16="http://schemas.microsoft.com/office/drawing/2014/main" id="{AE9048D0-49F1-0B7A-EA1F-641017AD406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52475"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314325</xdr:colOff>
      <xdr:row>9</xdr:row>
      <xdr:rowOff>152401</xdr:rowOff>
    </xdr:from>
    <xdr:to>
      <xdr:col>19</xdr:col>
      <xdr:colOff>561975</xdr:colOff>
      <xdr:row>24</xdr:row>
      <xdr:rowOff>171451</xdr:rowOff>
    </xdr:to>
    <xdr:graphicFrame macro="">
      <xdr:nvGraphicFramePr>
        <xdr:cNvPr id="13" name="Chart 1">
          <a:extLst>
            <a:ext uri="{FF2B5EF4-FFF2-40B4-BE49-F238E27FC236}">
              <a16:creationId xmlns:a16="http://schemas.microsoft.com/office/drawing/2014/main" id="{B93D5894-6345-3F9F-0452-9C59B05E3C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561975</xdr:colOff>
      <xdr:row>9</xdr:row>
      <xdr:rowOff>133350</xdr:rowOff>
    </xdr:from>
    <xdr:to>
      <xdr:col>13</xdr:col>
      <xdr:colOff>95250</xdr:colOff>
      <xdr:row>24</xdr:row>
      <xdr:rowOff>123826</xdr:rowOff>
    </xdr:to>
    <xdr:graphicFrame macro="">
      <xdr:nvGraphicFramePr>
        <xdr:cNvPr id="14" name="Chart 2">
          <a:extLst>
            <a:ext uri="{FF2B5EF4-FFF2-40B4-BE49-F238E27FC236}">
              <a16:creationId xmlns:a16="http://schemas.microsoft.com/office/drawing/2014/main" id="{AE936B52-9DCD-B8D8-835E-7B29578125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552450</xdr:colOff>
      <xdr:row>25</xdr:row>
      <xdr:rowOff>66675</xdr:rowOff>
    </xdr:from>
    <xdr:to>
      <xdr:col>13</xdr:col>
      <xdr:colOff>142875</xdr:colOff>
      <xdr:row>42</xdr:row>
      <xdr:rowOff>76200</xdr:rowOff>
    </xdr:to>
    <xdr:graphicFrame macro="">
      <xdr:nvGraphicFramePr>
        <xdr:cNvPr id="16" name="Chart 1">
          <a:extLst>
            <a:ext uri="{FF2B5EF4-FFF2-40B4-BE49-F238E27FC236}">
              <a16:creationId xmlns:a16="http://schemas.microsoft.com/office/drawing/2014/main" id="{84F4CD1A-3AC8-0DFD-CDFC-1312710490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419101</xdr:colOff>
      <xdr:row>10</xdr:row>
      <xdr:rowOff>0</xdr:rowOff>
    </xdr:from>
    <xdr:to>
      <xdr:col>6</xdr:col>
      <xdr:colOff>419101</xdr:colOff>
      <xdr:row>27</xdr:row>
      <xdr:rowOff>0</xdr:rowOff>
    </xdr:to>
    <mc:AlternateContent xmlns:mc="http://schemas.openxmlformats.org/markup-compatibility/2006">
      <mc:Choice xmlns:a14="http://schemas.microsoft.com/office/drawing/2010/main" Requires="a14">
        <xdr:graphicFrame macro="">
          <xdr:nvGraphicFramePr>
            <xdr:cNvPr id="17" name="Product 1">
              <a:extLst>
                <a:ext uri="{FF2B5EF4-FFF2-40B4-BE49-F238E27FC236}">
                  <a16:creationId xmlns:a16="http://schemas.microsoft.com/office/drawing/2014/main" id="{63072AD4-54EF-406D-9BE6-E2A35B76D36F}"/>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419101" y="1905000"/>
              <a:ext cx="3657600" cy="323850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523875</xdr:colOff>
      <xdr:row>28</xdr:row>
      <xdr:rowOff>66675</xdr:rowOff>
    </xdr:from>
    <xdr:to>
      <xdr:col>6</xdr:col>
      <xdr:colOff>523875</xdr:colOff>
      <xdr:row>41</xdr:row>
      <xdr:rowOff>114300</xdr:rowOff>
    </xdr:to>
    <mc:AlternateContent xmlns:mc="http://schemas.openxmlformats.org/markup-compatibility/2006">
      <mc:Choice xmlns:a14="http://schemas.microsoft.com/office/drawing/2010/main" Requires="a14">
        <xdr:graphicFrame macro="">
          <xdr:nvGraphicFramePr>
            <xdr:cNvPr id="18" name="Ratings 1">
              <a:extLst>
                <a:ext uri="{FF2B5EF4-FFF2-40B4-BE49-F238E27FC236}">
                  <a16:creationId xmlns:a16="http://schemas.microsoft.com/office/drawing/2014/main" id="{2F2DA361-0948-47DF-B95D-4662FEDA44E0}"/>
                </a:ext>
              </a:extLst>
            </xdr:cNvPr>
            <xdr:cNvGraphicFramePr/>
          </xdr:nvGraphicFramePr>
          <xdr:xfrm>
            <a:off x="0" y="0"/>
            <a:ext cx="0" cy="0"/>
          </xdr:xfrm>
          <a:graphic>
            <a:graphicData uri="http://schemas.microsoft.com/office/drawing/2010/slicer">
              <sle:slicer xmlns:sle="http://schemas.microsoft.com/office/drawing/2010/slicer" name="Ratings 1"/>
            </a:graphicData>
          </a:graphic>
        </xdr:graphicFrame>
      </mc:Choice>
      <mc:Fallback>
        <xdr:sp macro="" textlink="">
          <xdr:nvSpPr>
            <xdr:cNvPr id="0" name=""/>
            <xdr:cNvSpPr>
              <a:spLocks noTextEdit="1"/>
            </xdr:cNvSpPr>
          </xdr:nvSpPr>
          <xdr:spPr>
            <a:xfrm>
              <a:off x="2352675" y="5400675"/>
              <a:ext cx="1828800"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390525</xdr:colOff>
      <xdr:row>28</xdr:row>
      <xdr:rowOff>38100</xdr:rowOff>
    </xdr:from>
    <xdr:to>
      <xdr:col>3</xdr:col>
      <xdr:colOff>390525</xdr:colOff>
      <xdr:row>41</xdr:row>
      <xdr:rowOff>85725</xdr:rowOff>
    </xdr:to>
    <mc:AlternateContent xmlns:mc="http://schemas.openxmlformats.org/markup-compatibility/2006">
      <mc:Choice xmlns:a14="http://schemas.microsoft.com/office/drawing/2010/main" Requires="a14">
        <xdr:graphicFrame macro="">
          <xdr:nvGraphicFramePr>
            <xdr:cNvPr id="19" name="Rating Category 1">
              <a:extLst>
                <a:ext uri="{FF2B5EF4-FFF2-40B4-BE49-F238E27FC236}">
                  <a16:creationId xmlns:a16="http://schemas.microsoft.com/office/drawing/2014/main" id="{63929E2F-2F1D-4BBB-9788-D694A4C74BA9}"/>
                </a:ext>
              </a:extLst>
            </xdr:cNvPr>
            <xdr:cNvGraphicFramePr/>
          </xdr:nvGraphicFramePr>
          <xdr:xfrm>
            <a:off x="0" y="0"/>
            <a:ext cx="0" cy="0"/>
          </xdr:xfrm>
          <a:graphic>
            <a:graphicData uri="http://schemas.microsoft.com/office/drawing/2010/slicer">
              <sle:slicer xmlns:sle="http://schemas.microsoft.com/office/drawing/2010/slicer" name="Rating Category 1"/>
            </a:graphicData>
          </a:graphic>
        </xdr:graphicFrame>
      </mc:Choice>
      <mc:Fallback>
        <xdr:sp macro="" textlink="">
          <xdr:nvSpPr>
            <xdr:cNvPr id="0" name=""/>
            <xdr:cNvSpPr>
              <a:spLocks noTextEdit="1"/>
            </xdr:cNvSpPr>
          </xdr:nvSpPr>
          <xdr:spPr>
            <a:xfrm>
              <a:off x="390525" y="5372100"/>
              <a:ext cx="1828800"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571500</xdr:colOff>
      <xdr:row>9</xdr:row>
      <xdr:rowOff>0</xdr:rowOff>
    </xdr:from>
    <xdr:to>
      <xdr:col>7</xdr:col>
      <xdr:colOff>895350</xdr:colOff>
      <xdr:row>22</xdr:row>
      <xdr:rowOff>47625</xdr:rowOff>
    </xdr:to>
    <mc:AlternateContent xmlns:mc="http://schemas.openxmlformats.org/markup-compatibility/2006">
      <mc:Choice xmlns:a14="http://schemas.microsoft.com/office/drawing/2010/main" Requires="a14">
        <xdr:graphicFrame macro="">
          <xdr:nvGraphicFramePr>
            <xdr:cNvPr id="3" name="Rating Category">
              <a:extLst>
                <a:ext uri="{FF2B5EF4-FFF2-40B4-BE49-F238E27FC236}">
                  <a16:creationId xmlns:a16="http://schemas.microsoft.com/office/drawing/2014/main" id="{7DF25BEA-02DF-E1A3-6CD1-C28773730D26}"/>
                </a:ext>
              </a:extLst>
            </xdr:cNvPr>
            <xdr:cNvGraphicFramePr/>
          </xdr:nvGraphicFramePr>
          <xdr:xfrm>
            <a:off x="0" y="0"/>
            <a:ext cx="0" cy="0"/>
          </xdr:xfrm>
          <a:graphic>
            <a:graphicData uri="http://schemas.microsoft.com/office/drawing/2010/slicer">
              <sle:slicer xmlns:sle="http://schemas.microsoft.com/office/drawing/2010/slicer" name="Rating Category"/>
            </a:graphicData>
          </a:graphic>
        </xdr:graphicFrame>
      </mc:Choice>
      <mc:Fallback>
        <xdr:sp macro="" textlink="">
          <xdr:nvSpPr>
            <xdr:cNvPr id="0" name=""/>
            <xdr:cNvSpPr>
              <a:spLocks noTextEdit="1"/>
            </xdr:cNvSpPr>
          </xdr:nvSpPr>
          <xdr:spPr>
            <a:xfrm>
              <a:off x="4276725" y="1714500"/>
              <a:ext cx="1828800"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438150</xdr:colOff>
      <xdr:row>11</xdr:row>
      <xdr:rowOff>95250</xdr:rowOff>
    </xdr:from>
    <xdr:to>
      <xdr:col>7</xdr:col>
      <xdr:colOff>1514475</xdr:colOff>
      <xdr:row>24</xdr:row>
      <xdr:rowOff>142875</xdr:rowOff>
    </xdr:to>
    <mc:AlternateContent xmlns:mc="http://schemas.openxmlformats.org/markup-compatibility/2006">
      <mc:Choice xmlns:a14="http://schemas.microsoft.com/office/drawing/2010/main" Requires="a14">
        <xdr:graphicFrame macro="">
          <xdr:nvGraphicFramePr>
            <xdr:cNvPr id="4" name="Ratings">
              <a:extLst>
                <a:ext uri="{FF2B5EF4-FFF2-40B4-BE49-F238E27FC236}">
                  <a16:creationId xmlns:a16="http://schemas.microsoft.com/office/drawing/2014/main" id="{2F784BE8-294A-B12D-52DE-7650D8030838}"/>
                </a:ext>
              </a:extLst>
            </xdr:cNvPr>
            <xdr:cNvGraphicFramePr/>
          </xdr:nvGraphicFramePr>
          <xdr:xfrm>
            <a:off x="0" y="0"/>
            <a:ext cx="0" cy="0"/>
          </xdr:xfrm>
          <a:graphic>
            <a:graphicData uri="http://schemas.microsoft.com/office/drawing/2010/slicer">
              <sle:slicer xmlns:sle="http://schemas.microsoft.com/office/drawing/2010/slicer" name="Ratings"/>
            </a:graphicData>
          </a:graphic>
        </xdr:graphicFrame>
      </mc:Choice>
      <mc:Fallback>
        <xdr:sp macro="" textlink="">
          <xdr:nvSpPr>
            <xdr:cNvPr id="0" name=""/>
            <xdr:cNvSpPr>
              <a:spLocks noTextEdit="1"/>
            </xdr:cNvSpPr>
          </xdr:nvSpPr>
          <xdr:spPr>
            <a:xfrm>
              <a:off x="4895850" y="2190750"/>
              <a:ext cx="1828800"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161924</xdr:colOff>
      <xdr:row>14</xdr:row>
      <xdr:rowOff>0</xdr:rowOff>
    </xdr:from>
    <xdr:to>
      <xdr:col>8</xdr:col>
      <xdr:colOff>1343024</xdr:colOff>
      <xdr:row>27</xdr:row>
      <xdr:rowOff>161925</xdr:rowOff>
    </xdr:to>
    <mc:AlternateContent xmlns:mc="http://schemas.openxmlformats.org/markup-compatibility/2006">
      <mc:Choice xmlns:a14="http://schemas.microsoft.com/office/drawing/2010/main" Requires="a14">
        <xdr:graphicFrame macro="">
          <xdr:nvGraphicFramePr>
            <xdr:cNvPr id="5" name="Product">
              <a:extLst>
                <a:ext uri="{FF2B5EF4-FFF2-40B4-BE49-F238E27FC236}">
                  <a16:creationId xmlns:a16="http://schemas.microsoft.com/office/drawing/2014/main" id="{04ABF826-763E-157F-03A1-C95C12697418}"/>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5372099" y="2667000"/>
              <a:ext cx="3590925" cy="26384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84.934817592592" createdVersion="8" refreshedVersion="8" minRefreshableVersion="3" recordCount="112" xr:uid="{1F514497-8256-4BC7-8DA8-E1056AAD0D66}">
  <cacheSource type="worksheet">
    <worksheetSource ref="A1:I113" sheet="Excel_jumia_dataset (1)"/>
  </cacheSource>
  <cacheFields count="9">
    <cacheField name="Product" numFmtId="0">
      <sharedItems count="109">
        <s v="115  Piece Set Of Multifunctional Precision Screwdrivers"/>
        <s v="Metal Decorative Hooks Key Hangers Entryway Wall Hooks Towel Hooks - Home"/>
        <s v="Portable Mini Cordless Car Vacuum Cleaner - Blue"/>
        <s v="Weighing Scale Digital Bathroom Body Fat Scale USB-Black"/>
        <s v="Portable Home Small Air Humidifier 3-Speed Fan - Green"/>
        <s v="220V 60W Electric Soldering Iron Kits With Tools, Tips, And Multimeter"/>
        <s v="137 Pieces Cake Decorating Tool Set Baking Supplies"/>
        <s v="Desk Foldable Fan Adjustable Fan Strong Wind 3 Gear Usb"/>
        <s v="LASA FOLDING TABLE SERVING STAND"/>
        <s v="13 In 1 Home Repair Tools Box Kit Set"/>
        <s v="Genebre 115 In 1 Screwdriver Repairing Tool Set For IPhone Cellphone Hand Tool"/>
        <s v="100 Pcs Crochet Hook Tool Set Knitting Hook Set With Box"/>
        <s v="40cm Gold DIY Acrylic Wall Sticker Clock"/>
        <s v="LASA Digital Thermometer And Hydrometer"/>
        <s v="Multifunction Laser Level With Adjustment Tripod"/>
        <s v="Anti-Skid Absorbent Insulation Coaster  For Home Office"/>
        <s v="Peacock  Throw Pillow Cushion Case For Home Car"/>
        <s v="LASA Aluminum Folding Truck Hand Cart - 68kg Max"/>
        <s v="LED Wall Digital Alarm Clock Study Home 12 / 24H Clock Calendar"/>
        <s v="3D Waterproof EVA Plastic Shower Curtain 1.8*2Mtrs"/>
        <s v="3PCS Single Head Knitting Crochet Sweater Needle Set"/>
        <s v="4pcs Bathroom/Kitchen Towel Rack,Roll Paper Holder,Towel Bars,Hook"/>
        <s v="LED Romantic Spaceship Starry Sky Projector,Children's Bedroom Night Light-Blue"/>
        <s v="Foldable Overbed Table/Desk"/>
        <s v="LASA 3 Tier Bamboo Shoe Bench Storage Shelf"/>
        <s v="Electronic Digital Display Vernier Caliper"/>
        <s v="Portable Wardrobe Nonwoven With 3 Hanging Rods And 6 Storage Shelves"/>
        <s v="12 Litre Black Insulated Lunch Box"/>
        <s v="52 Pieces Cake Decorating Tool Set Gift Kit Baking Supplies"/>
        <s v="MultiFunctional Storage Rack Multi-layer Bookshelf"/>
        <s v="Exfoliate And Exfoliate Face Towel - Black"/>
        <s v="12 Litre Insulated Lunch Box Grey"/>
        <s v="LED Eye Protection  Desk Lamp , Study, Reading, USB Fan - Double Pen Holder"/>
        <s v="53Pcs/Set Yarn Knitting Crochet Hooks With Bag - Fortune Cat"/>
        <s v="53 Pieces/Set Yarn Knitting Crochet Hooks With Bag - Pansies"/>
        <s v="DIY File Folder, Office Drawer File Holder, Pen Holder, Desktop Storage Rack"/>
        <s v="Classic Black Cat Cotton Hemp Pillow Case For Home Car"/>
        <s v="Punch-free Great Load Bearing Bathroom Storage Rack Wall Shelf-White"/>
        <s v="1/2/3 Seater Elastic Sofa Cover,Living Room/Home Decor Chair Cover-Grey"/>
        <s v="LASA Stainless Steel Double Wall Mount Soap Dispenser - 500ml"/>
        <s v="4M Float Switch Water Level Controller -Water Tank"/>
        <s v="Modern Sofa Throw Pillow Cover-45x45cm-Blue&amp;Red"/>
        <s v="Balloon Insert, Birthday Party Balloon Set, PU Leather"/>
        <s v="Shower Cap Wide Elastic Band Cover Reusable Bashroom Cap"/>
        <s v="Christmas Elk Fence Yard Lawn Decorations Cute For Holidays"/>
        <s v="60W Hot Melt Glue Sprayer - Efficient And Stable Glue Dispensing"/>
        <s v="Car Phone Charging Stand"/>
        <s v="2pcs Solar Street Light Flood Light Outdoor"/>
        <s v="Creative Owl Shape Keychain Black"/>
        <s v="Brush &amp; Paintbrush Cleaning Tool Pink"/>
        <s v="Pen Grips For Kids Pen Grip Posture Correction Tool For Kids"/>
        <s v="Pilates Cloth Bag Waterproof Durable High Capacity Purple"/>
        <s v="Multi-purpose Rice Drainage Basket And Fruit And Vegetable Drainage Sieve"/>
        <s v="Cute Christmas Fence Garden Decorations For Holiday Home"/>
        <s v="Simple Metal Dog Art Sculpture Decoration For Home Office"/>
        <s v="Christmas Fence Garden Decorations Outdoor For Holiday Home"/>
        <s v="Angle Measuring Tool Full Metal Multi Angle Measuring Tool"/>
        <s v="12V 19500rpm Handheld Electric Angle Grinder Tool - UK - Yellow/Black"/>
        <s v="5 Pieces/set Of Stainless Steel Induction Cooker Pots"/>
        <s v="Mythco 120COB Solar Wall Ligt With Motion Sensor And Remote Control 3 Modes"/>
        <s v="5-PCS Stainless Steel Cooking Pot Set With Steamed Slices"/>
        <s v="120W Cordless Vacuum Cleaners Handheld Electric Vacuum Cleaner"/>
        <s v="Intelligent  LED Body Sensor Wireless Lighting Night Light USB"/>
        <s v="VIC Wireless Vacuum Cleaner Dual Use For Home And Car 120W High Power Powerful"/>
        <s v="Artificial Potted Flowers Room Decorative Flowers (2 Pieces)"/>
        <s v="380ML USB Rechargeable Portable Small Blenders And Juicers"/>
        <s v="32PCS Portable Cordless Drill Set With Cyclic Battery Drive -26 Variable Speed"/>
        <s v="Agapeon Toothbrush Holder And Toothpaste Dispenser"/>
        <s v="Large Lazy Inflatable Sofa Chairs PVC Lounger Seat Bag"/>
        <s v="Watercolour Gold Foil Textured Print Pillow Cover"/>
        <s v="Wrought Iron Bathroom Shelf Wall Mounted Free Punch Toilet Rack"/>
        <s v="7-piece Set Of Storage Bags, Travel Storage Bags, Shoe Bags"/>
        <s v="Electric LED UV Mosquito Killer Lamp, Outdoor/Indoor Fly Killer Trap Light -USB"/>
        <s v="2PCS/LOT Solar LED Outdoor Intelligent Light Controlled Wall Lamp"/>
        <s v="3PCS Rotary Scraper Thermomix For Kitchen"/>
        <s v="Cushion Silicone Butt Cushion Summer Ice Cushion Honeycomb Gel Cushion"/>
        <s v="7PCS Silicone Thumb Knife Finger Protector Vegetable Harvesting Knife"/>
        <s v="Memory Foam Neck Pillow Cover, With Pillow Core - 50*30cm"/>
        <s v="Bedroom Simple Floor Hanging Clothes Rack Single Pole Hat Rack - White"/>
        <s v="5m Waterproof Spherical LED String Lights Outdoor Ball Chain Lights Party Lighting Decoration Adjustable"/>
        <s v="2 Pairs Cowhide Split Leather Work Gloves.32â„‰ Or Above Welding Gloves"/>
        <s v="Household Pineapple Peeler Peeler"/>
        <s v="Office Chair Lumbar Back Support Spine Posture Correction Pillow Car Cushion"/>
        <s v="Cartoon Car Decoration Cute Individuality For Car Home Desk"/>
        <s v="Outdoor Portable Water Bottle With Medicine Box - 600ML - Black"/>
        <s v="Wall-Mounted Toothbrush Toothpaste Holder With Multiple Slots"/>
        <s v="Multifunctional Hanging Storage Box Storage Bag (4 Layers)"/>
        <s v="Wall Clock With Hidden Safe Box"/>
        <s v="Portable Wine Table With Folding Round Table"/>
        <s v="Sewing Machine Needle Threader Stitch Insertion Tool Automatic Quick Sewing"/>
        <s v="6 Layers Steel Pipe Assembling Dustproof Storage Shoe Cabinet"/>
        <s v="2PCS Ice Silk Square Cushion Cover Pillowcases - 65x65cm"/>
        <s v="Wall Mount Automatic Toothpaste Dispenser Toothbrush Holder Toothpaste Squeezer"/>
        <s v="Portable Soap Dispenser Kitchen Detergent Press Box Kitchen Tools"/>
        <s v="4 Piece Coloured Stainless Steel Kitchenware Set"/>
        <s v="Metal Wall Clock Silver Dial Crystal Jewelry Round Home Decoration Wall Clock"/>
        <s v="Baby Early Education Shape And Color Cognitive Training Toys"/>
        <s v="8in1 Screwdriver With LED Light"/>
        <s v="Konka Healty Electric Kettle, 24-hour Heat Preservation,1.5L,800W, White"/>
        <s v="9pcs Gas Mask, For Painting, Dust, Formaldehyde Grinding, Polishing"/>
        <s v="24 Grid Wall-mounted Sundries Organiser Fabric Closet Bag Storage Rack"/>
        <s v="1PC Refrigerator Food Seal Pocket Fridge Bags"/>
        <s v="LED Solar Street Light-fake Camera"/>
        <s v="Cartoon Embroidered Mini Towel Bear Cotton Wash Cloth Hand 4pcs"/>
        <s v="Shower Nozzle Cleaning Unclogging Needle Mini Crevice Small Hole Cleaning Brush"/>
        <s v="Thickening Multipurpose Non Stick Easy To Clean Heat Resistant Spoon Pad"/>
        <s v="6 In 1 Bottle Can Opener Multifunctional Easy Opener"/>
        <s v="Wall-mounted Sticker Punch-free Plug Fixer"/>
        <s v="Black Simple Water Cup Wine Coaster Anti Slip Absorbent"/>
      </sharedItems>
    </cacheField>
    <cacheField name="Current price" numFmtId="1">
      <sharedItems containsSemiMixedTypes="0" containsString="0" containsNumber="1" containsInteger="1" minValue="38" maxValue="3750"/>
    </cacheField>
    <cacheField name="Old price" numFmtId="1">
      <sharedItems containsSemiMixedTypes="0" containsString="0" containsNumber="1" containsInteger="1" minValue="80" maxValue="6143"/>
    </cacheField>
    <cacheField name="Discount" numFmtId="9">
      <sharedItems containsSemiMixedTypes="0" containsString="0" containsNumber="1" minValue="0.01" maxValue="0.64" count="46">
        <n v="0.38"/>
        <n v="0.47"/>
        <n v="0.25"/>
        <n v="0.37"/>
        <n v="0.26"/>
        <n v="0.09"/>
        <n v="0.24"/>
        <n v="0.55000000000000004"/>
        <n v="0.45"/>
        <n v="0.2"/>
        <n v="0.34"/>
        <n v="0.42"/>
        <n v="0.33"/>
        <n v="0.51"/>
        <n v="0.46"/>
        <n v="0.49"/>
        <n v="0.19"/>
        <n v="0.53"/>
        <n v="0.35"/>
        <n v="0.23"/>
        <n v="0.54"/>
        <n v="0.18"/>
        <n v="0.32"/>
        <n v="0.3"/>
        <n v="0.52"/>
        <n v="0.48"/>
        <n v="0.27"/>
        <n v="0.4"/>
        <n v="0.41"/>
        <n v="0.5"/>
        <n v="0.02"/>
        <n v="0.61"/>
        <n v="0.22"/>
        <n v="0.03"/>
        <n v="0.13"/>
        <n v="0.39"/>
        <n v="0.28999999999999998"/>
        <n v="0.43"/>
        <n v="0.04"/>
        <n v="0.36"/>
        <n v="0.14000000000000001"/>
        <n v="0.11"/>
        <n v="0.08"/>
        <n v="0.21"/>
        <n v="0.01"/>
        <n v="0.64"/>
      </sharedItems>
      <fieldGroup base="3">
        <rangePr startNum="0.01" endNum="0.64" groupInterval="0.05"/>
        <groupItems count="15">
          <s v="&lt;0.01"/>
          <s v="0.01-0.06"/>
          <s v="0.06-0.11"/>
          <s v="0.11-0.16"/>
          <s v="0.16-0.21"/>
          <s v="0.21-0.26"/>
          <s v="0.26-0.31"/>
          <s v="0.31-0.36"/>
          <s v="0.36-0.41"/>
          <s v="0.41-0.46"/>
          <s v="0.46-0.51"/>
          <s v="0.51-0.56"/>
          <s v="0.56-0.61"/>
          <s v="0.61-0.66"/>
          <s v="&gt;0.66"/>
        </groupItems>
      </fieldGroup>
    </cacheField>
    <cacheField name="Review" numFmtId="0">
      <sharedItems containsString="0" containsBlank="1" containsNumber="1" containsInteger="1" minValue="1" maxValue="69"/>
    </cacheField>
    <cacheField name="Ratings" numFmtId="0">
      <sharedItems containsString="0" containsBlank="1" containsNumber="1" minValue="2" maxValue="5" count="23">
        <n v="4.5"/>
        <n v="4.0999999999999996"/>
        <n v="4.5999999999999996"/>
        <n v="4.7"/>
        <n v="4.8"/>
        <n v="4"/>
        <n v="3.8"/>
        <n v="4.2"/>
        <n v="5"/>
        <n v="3.3"/>
        <m/>
        <n v="4.4000000000000004"/>
        <n v="4.3"/>
        <n v="2.5"/>
        <n v="3"/>
        <n v="2.1"/>
        <n v="2.8"/>
        <n v="2.7"/>
        <n v="2.9"/>
        <n v="2.2000000000000002"/>
        <n v="2.2999999999999998"/>
        <n v="2.6"/>
        <n v="2"/>
      </sharedItems>
      <fieldGroup base="5">
        <rangePr autoStart="0" autoEnd="0" startNum="2.5" endNum="5" groupInterval="0.5"/>
        <groupItems count="7">
          <s v="&lt;2.5 or (blank)"/>
          <s v="2.5-3"/>
          <s v="3-3.5"/>
          <s v="3.5-4"/>
          <s v="4-4.5"/>
          <s v="4.5-5"/>
          <s v="&gt;5"/>
        </groupItems>
      </fieldGroup>
    </cacheField>
    <cacheField name="Absolute Discount" numFmtId="1">
      <sharedItems containsSemiMixedTypes="0" containsString="0" containsNumber="1" containsInteger="1" minValue="24" maxValue="2585"/>
    </cacheField>
    <cacheField name="Rating Category" numFmtId="0">
      <sharedItems count="4">
        <s v="Excellent"/>
        <s v="Average"/>
        <s v=""/>
        <s v="Poor"/>
      </sharedItems>
    </cacheField>
    <cacheField name="Procuct Category"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85.625448263891" backgroundQuery="1" createdVersion="8" refreshedVersion="8" minRefreshableVersion="3" recordCount="0" supportSubquery="1" supportAdvancedDrill="1" xr:uid="{0618CFBB-B432-4F02-ACB0-87EFE78BFB32}">
  <cacheSource type="external" connectionId="1"/>
  <cacheFields count="3">
    <cacheField name="[Range].[Product].[Product]" caption="Product" numFmtId="0" level="1">
      <sharedItems count="5">
        <s v="Anti-Skid Absorbent Insulation Coaster  For Home Office"/>
        <s v="Bedroom Simple Floor Hanging Clothes Rack Single Pole Hat Rack - White"/>
        <s v="Classic Black Cat Cotton Hemp Pillow Case For Home Car"/>
        <s v="DIY File Folder, Office Drawer File Holder, Pen Holder, Desktop Storage Rack"/>
        <s v="Konka Healty Electric Kettle, 24-hour Heat Preservation,1.5L,800W, White"/>
      </sharedItems>
    </cacheField>
    <cacheField name="[Measures].[Average of Ratings]" caption="Average of Ratings" numFmtId="0" hierarchy="22" level="32767"/>
    <cacheField name="[Range].[Rating Category].[Rating Category]" caption="Rating Category" numFmtId="0" hierarchy="7" level="1">
      <sharedItems containsSemiMixedTypes="0" containsNonDate="0" containsString="0"/>
    </cacheField>
  </cacheFields>
  <cacheHierarchies count="35">
    <cacheHierarchy uniqueName="[Range].[Product]" caption="Product" attribute="1" defaultMemberUniqueName="[Range].[Product].[All]" allUniqueName="[Range].[Product].[All]" dimensionUniqueName="[Range]" displayFolder="" count="2" memberValueDatatype="130" unbalanced="0">
      <fieldsUsage count="2">
        <fieldUsage x="-1"/>
        <fieldUsage x="0"/>
      </fieldsUsage>
    </cacheHierarchy>
    <cacheHierarchy uniqueName="[Range].[Current price]" caption="Current price" attribute="1" defaultMemberUniqueName="[Range].[Current price].[All]" allUniqueName="[Range].[Current price].[All]" dimensionUniqueName="[Range]" displayFolder="" count="0" memberValueDatatype="20" unbalanced="0"/>
    <cacheHierarchy uniqueName="[Range].[Old price]" caption="Old price" attribute="1" defaultMemberUniqueName="[Range].[Old price].[All]" allUniqueName="[Range].[Old price].[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Review]" caption="Review" attribute="1" defaultMemberUniqueName="[Range].[Review].[All]" allUniqueName="[Range].[Review].[All]" dimensionUniqueName="[Range]" displayFolder="" count="0" memberValueDatatype="20" unbalanced="0"/>
    <cacheHierarchy uniqueName="[Range].[Ratings]" caption="Ratings" attribute="1" defaultMemberUniqueName="[Range].[Ratings].[All]" allUniqueName="[Range].[Ratings].[All]" dimensionUniqueName="[Range]" displayFolder="" count="2" memberValueDatatype="5" unbalanced="0"/>
    <cacheHierarchy uniqueName="[Range].[Absolute Discount]" caption="Absolute Discount" attribute="1" defaultMemberUniqueName="[Range].[Absolute Discount].[All]" allUniqueName="[Range].[Absolute Discount].[All]" dimensionUniqueName="[Range]" displayFolder="" count="0" memberValueDatatype="20" unbalanced="0"/>
    <cacheHierarchy uniqueName="[Range].[Rating Category]" caption="Rating Category" attribute="1" defaultMemberUniqueName="[Range].[Rating Category].[All]" allUniqueName="[Range].[Rating Category].[All]" dimensionUniqueName="[Range]" displayFolder="" count="2" memberValueDatatype="130" unbalanced="0">
      <fieldsUsage count="2">
        <fieldUsage x="-1"/>
        <fieldUsage x="2"/>
      </fieldsUsage>
    </cacheHierarchy>
    <cacheHierarchy uniqueName="[Range].[Procuct Category]" caption="Procuct Category" attribute="1" defaultMemberUniqueName="[Range].[Procuct Category].[All]" allUniqueName="[Range].[Procuct Category].[All]" dimensionUniqueName="[Range]" displayFolder="" count="0" memberValueDatatype="130" unbalanced="0"/>
    <cacheHierarchy uniqueName="[Range 1].[Product]" caption="Product" attribute="1" defaultMemberUniqueName="[Range 1].[Product].[All]" allUniqueName="[Range 1].[Product].[All]" dimensionUniqueName="[Range 1]" displayFolder="" count="0" memberValueDatatype="130" unbalanced="0"/>
    <cacheHierarchy uniqueName="[Range 1].[Current price]" caption="Current price" attribute="1" defaultMemberUniqueName="[Range 1].[Current price].[All]" allUniqueName="[Range 1].[Current price].[All]" dimensionUniqueName="[Range 1]" displayFolder="" count="0" memberValueDatatype="130" unbalanced="0"/>
    <cacheHierarchy uniqueName="[Range 1].[Old price]" caption="Old price" attribute="1" defaultMemberUniqueName="[Range 1].[Old price].[All]" allUniqueName="[Range 1].[Old price].[All]" dimensionUniqueName="[Range 1]" displayFolder="" count="0" memberValueDatatype="20" unbalanced="0"/>
    <cacheHierarchy uniqueName="[Range 1].[Discount]" caption="Discount" attribute="1" defaultMemberUniqueName="[Range 1].[Discount].[All]" allUniqueName="[Range 1].[Discount].[All]" dimensionUniqueName="[Range 1]" displayFolder="" count="0" memberValueDatatype="5" unbalanced="0"/>
    <cacheHierarchy uniqueName="[Range 1].[Review]" caption="Review" attribute="1" defaultMemberUniqueName="[Range 1].[Review].[All]" allUniqueName="[Range 1].[Review].[All]" dimensionUniqueName="[Range 1]" displayFolder="" count="0" memberValueDatatype="20" unbalanced="0"/>
    <cacheHierarchy uniqueName="[Range 1].[Ratings]" caption="Ratings" attribute="1" defaultMemberUniqueName="[Range 1].[Ratings].[All]" allUniqueName="[Range 1].[Ratings].[All]" dimensionUniqueName="[Range 1]" displayFolder="" count="0" memberValueDatatype="5" unbalanced="0"/>
    <cacheHierarchy uniqueName="[Range 1].[Absolute Discount]" caption="Absolute Discount" attribute="1" defaultMemberUniqueName="[Range 1].[Absolute Discount].[All]" allUniqueName="[Range 1].[Absolute Discount].[All]" dimensionUniqueName="[Range 1]" displayFolder="" count="0" memberValueDatatype="20" unbalanced="0"/>
    <cacheHierarchy uniqueName="[Range 1].[Rating Category]" caption="Rating Category" attribute="1" defaultMemberUniqueName="[Range 1].[Rating Category].[All]" allUniqueName="[Range 1].[Rating Category].[All]" dimensionUniqueName="[Range 1]" displayFolder="" count="0" memberValueDatatype="130" unbalanced="0"/>
    <cacheHierarchy uniqueName="[Range 1].[Procuct Category]" caption="Procuct Category" attribute="1" defaultMemberUniqueName="[Range 1].[Procuct Category].[All]" allUniqueName="[Range 1].[Procuct Category].[All]" dimensionUniqueName="[Range 1]" displayFolder="" count="0" memberValueDatatype="13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Ratings]" caption="Sum of Ratings" measure="1" displayFolder="" measureGroup="Range" count="0" hidden="1">
      <extLst>
        <ext xmlns:x15="http://schemas.microsoft.com/office/spreadsheetml/2010/11/main" uri="{B97F6D7D-B522-45F9-BDA1-12C45D357490}">
          <x15:cacheHierarchy aggregatedColumn="5"/>
        </ext>
      </extLst>
    </cacheHierarchy>
    <cacheHierarchy uniqueName="[Measures].[Average of Ratings]" caption="Average of Ratings" measure="1" displayFolder="" measureGroup="Range"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Ratings 2]" caption="Sum of Ratings 2" measure="1" displayFolder="" measureGroup="Range 1" count="0" hidden="1">
      <extLst>
        <ext xmlns:x15="http://schemas.microsoft.com/office/spreadsheetml/2010/11/main" uri="{B97F6D7D-B522-45F9-BDA1-12C45D357490}">
          <x15:cacheHierarchy aggregatedColumn="14"/>
        </ext>
      </extLst>
    </cacheHierarchy>
    <cacheHierarchy uniqueName="[Measures].[Average of Ratings 2]" caption="Average of Ratings 2" measure="1" displayFolder="" measureGroup="Range 1" count="0" hidden="1">
      <extLst>
        <ext xmlns:x15="http://schemas.microsoft.com/office/spreadsheetml/2010/11/main" uri="{B97F6D7D-B522-45F9-BDA1-12C45D357490}">
          <x15:cacheHierarchy aggregatedColumn="14"/>
        </ext>
      </extLst>
    </cacheHierarchy>
    <cacheHierarchy uniqueName="[Measures].[Sum of Discount]" caption="Sum of Discount" measure="1" displayFolder="" measureGroup="Range" count="0" hidden="1">
      <extLst>
        <ext xmlns:x15="http://schemas.microsoft.com/office/spreadsheetml/2010/11/main" uri="{B97F6D7D-B522-45F9-BDA1-12C45D357490}">
          <x15:cacheHierarchy aggregatedColumn="3"/>
        </ext>
      </extLst>
    </cacheHierarchy>
    <cacheHierarchy uniqueName="[Measures].[Average of Discount]" caption="Average of Discount" measure="1" displayFolder="" measureGroup="Range" count="0" hidden="1">
      <extLst>
        <ext xmlns:x15="http://schemas.microsoft.com/office/spreadsheetml/2010/11/main" uri="{B97F6D7D-B522-45F9-BDA1-12C45D357490}">
          <x15:cacheHierarchy aggregatedColumn="3"/>
        </ext>
      </extLst>
    </cacheHierarchy>
    <cacheHierarchy uniqueName="[Measures].[Count of Discount]" caption="Count of Discount" measure="1" displayFolder="" measureGroup="Range" count="0" hidden="1">
      <extLst>
        <ext xmlns:x15="http://schemas.microsoft.com/office/spreadsheetml/2010/11/main" uri="{B97F6D7D-B522-45F9-BDA1-12C45D357490}">
          <x15:cacheHierarchy aggregatedColumn="3"/>
        </ext>
      </extLst>
    </cacheHierarchy>
    <cacheHierarchy uniqueName="[Measures].[Max of Discount]" caption="Max of Discount" measure="1" displayFolder="" measureGroup="Range" count="0" hidden="1">
      <extLst>
        <ext xmlns:x15="http://schemas.microsoft.com/office/spreadsheetml/2010/11/main" uri="{B97F6D7D-B522-45F9-BDA1-12C45D357490}">
          <x15:cacheHierarchy aggregatedColumn="3"/>
        </ext>
      </extLst>
    </cacheHierarchy>
    <cacheHierarchy uniqueName="[Measures].[Sum of Review]" caption="Sum of Review" measure="1" displayFolder="" measureGroup="Range" count="0" hidden="1">
      <extLst>
        <ext xmlns:x15="http://schemas.microsoft.com/office/spreadsheetml/2010/11/main" uri="{B97F6D7D-B522-45F9-BDA1-12C45D357490}">
          <x15:cacheHierarchy aggregatedColumn="4"/>
        </ext>
      </extLst>
    </cacheHierarchy>
    <cacheHierarchy uniqueName="[Measures].[Max of Review]" caption="Max of Review" measure="1" displayFolder="" measureGroup="Range" count="0" hidden="1">
      <extLst>
        <ext xmlns:x15="http://schemas.microsoft.com/office/spreadsheetml/2010/11/main" uri="{B97F6D7D-B522-45F9-BDA1-12C45D357490}">
          <x15:cacheHierarchy aggregatedColumn="4"/>
        </ext>
      </extLst>
    </cacheHierarchy>
    <cacheHierarchy uniqueName="[Measures].[Count of Ratings]" caption="Count of Ratings" measure="1" displayFolder="" measureGroup="Range" count="0" hidden="1">
      <extLst>
        <ext xmlns:x15="http://schemas.microsoft.com/office/spreadsheetml/2010/11/main" uri="{B97F6D7D-B522-45F9-BDA1-12C45D357490}">
          <x15:cacheHierarchy aggregatedColumn="5"/>
        </ext>
      </extLst>
    </cacheHierarchy>
    <cacheHierarchy uniqueName="[Measures].[Max of Ratings]" caption="Max of Ratings" measure="1" displayFolder="" measureGroup="Range" count="0" hidden="1">
      <extLst>
        <ext xmlns:x15="http://schemas.microsoft.com/office/spreadsheetml/2010/11/main" uri="{B97F6D7D-B522-45F9-BDA1-12C45D357490}">
          <x15:cacheHierarchy aggregatedColumn="5"/>
        </ext>
      </extLst>
    </cacheHierarchy>
    <cacheHierarchy uniqueName="[Measures].[Count of Rating Category]" caption="Count of Rating Category" measure="1" displayFolder="" measureGroup="Range" count="0" hidden="1">
      <extLst>
        <ext xmlns:x15="http://schemas.microsoft.com/office/spreadsheetml/2010/11/main" uri="{B97F6D7D-B522-45F9-BDA1-12C45D357490}">
          <x15:cacheHierarchy aggregatedColumn="7"/>
        </ext>
      </extLst>
    </cacheHierarchy>
    <cacheHierarchy uniqueName="[Measures].[Count of Procuct Category]" caption="Count of Procuct Category" measure="1" displayFolder="" measureGroup="Range" count="0" hidden="1">
      <extLst>
        <ext xmlns:x15="http://schemas.microsoft.com/office/spreadsheetml/2010/11/main" uri="{B97F6D7D-B522-45F9-BDA1-12C45D357490}">
          <x15:cacheHierarchy aggregatedColumn="8"/>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85.625448726852" backgroundQuery="1" createdVersion="8" refreshedVersion="8" minRefreshableVersion="3" recordCount="0" supportSubquery="1" supportAdvancedDrill="1" xr:uid="{1E042B21-35EB-4ED9-A23C-059A17800EEB}">
  <cacheSource type="external" connectionId="1"/>
  <cacheFields count="3">
    <cacheField name="[Range 1].[Product].[Product]" caption="Product" numFmtId="0" hierarchy="9" level="1">
      <sharedItems count="5">
        <s v="5-PCS Stainless Steel Cooking Pot Set With Steamed Slices"/>
        <s v="7-piece Set Of Storage Bags, Travel Storage Bags, Shoe Bags"/>
        <s v="Artificial Potted Flowers Room Decorative Flowers (2 Pieces)"/>
        <s v="Electric LED UV Mosquito Killer Lamp, Outdoor/Indoor Fly Killer Trap Light -USB"/>
        <s v="Wall-mounted Sticker Punch-free Plug Fixer"/>
      </sharedItems>
    </cacheField>
    <cacheField name="[Measures].[Average of Ratings 2]" caption="Average of Ratings 2" numFmtId="0" hierarchy="24" level="32767"/>
    <cacheField name="[Range].[Rating Category].[Rating Category]" caption="Rating Category" numFmtId="0" hierarchy="7" level="1">
      <sharedItems containsSemiMixedTypes="0" containsNonDate="0" containsString="0"/>
    </cacheField>
  </cacheFields>
  <cacheHierarchies count="35">
    <cacheHierarchy uniqueName="[Range].[Product]" caption="Product" attribute="1" defaultMemberUniqueName="[Range].[Product].[All]" allUniqueName="[Range].[Product].[All]" dimensionUniqueName="[Range]" displayFolder="" count="2" memberValueDatatype="130" unbalanced="0"/>
    <cacheHierarchy uniqueName="[Range].[Current price]" caption="Current price" attribute="1" defaultMemberUniqueName="[Range].[Current price].[All]" allUniqueName="[Range].[Current price].[All]" dimensionUniqueName="[Range]" displayFolder="" count="0" memberValueDatatype="20" unbalanced="0"/>
    <cacheHierarchy uniqueName="[Range].[Old price]" caption="Old price" attribute="1" defaultMemberUniqueName="[Range].[Old price].[All]" allUniqueName="[Range].[Old price].[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Review]" caption="Review" attribute="1" defaultMemberUniqueName="[Range].[Review].[All]" allUniqueName="[Range].[Review].[All]" dimensionUniqueName="[Range]" displayFolder="" count="0" memberValueDatatype="20" unbalanced="0"/>
    <cacheHierarchy uniqueName="[Range].[Ratings]" caption="Ratings" attribute="1" defaultMemberUniqueName="[Range].[Ratings].[All]" allUniqueName="[Range].[Ratings].[All]" dimensionUniqueName="[Range]" displayFolder="" count="2" memberValueDatatype="5" unbalanced="0"/>
    <cacheHierarchy uniqueName="[Range].[Absolute Discount]" caption="Absolute Discount" attribute="1" defaultMemberUniqueName="[Range].[Absolute Discount].[All]" allUniqueName="[Range].[Absolute Discount].[All]" dimensionUniqueName="[Range]" displayFolder="" count="0" memberValueDatatype="20" unbalanced="0"/>
    <cacheHierarchy uniqueName="[Range].[Rating Category]" caption="Rating Category" attribute="1" defaultMemberUniqueName="[Range].[Rating Category].[All]" allUniqueName="[Range].[Rating Category].[All]" dimensionUniqueName="[Range]" displayFolder="" count="2" memberValueDatatype="130" unbalanced="0">
      <fieldsUsage count="2">
        <fieldUsage x="-1"/>
        <fieldUsage x="2"/>
      </fieldsUsage>
    </cacheHierarchy>
    <cacheHierarchy uniqueName="[Range].[Procuct Category]" caption="Procuct Category" attribute="1" defaultMemberUniqueName="[Range].[Procuct Category].[All]" allUniqueName="[Range].[Procuct Category].[All]" dimensionUniqueName="[Range]" displayFolder="" count="0" memberValueDatatype="130" unbalanced="0"/>
    <cacheHierarchy uniqueName="[Range 1].[Product]" caption="Product" attribute="1" defaultMemberUniqueName="[Range 1].[Product].[All]" allUniqueName="[Range 1].[Product].[All]" dimensionUniqueName="[Range 1]" displayFolder="" count="2" memberValueDatatype="130" unbalanced="0">
      <fieldsUsage count="2">
        <fieldUsage x="-1"/>
        <fieldUsage x="0"/>
      </fieldsUsage>
    </cacheHierarchy>
    <cacheHierarchy uniqueName="[Range 1].[Current price]" caption="Current price" attribute="1" defaultMemberUniqueName="[Range 1].[Current price].[All]" allUniqueName="[Range 1].[Current price].[All]" dimensionUniqueName="[Range 1]" displayFolder="" count="0" memberValueDatatype="130" unbalanced="0"/>
    <cacheHierarchy uniqueName="[Range 1].[Old price]" caption="Old price" attribute="1" defaultMemberUniqueName="[Range 1].[Old price].[All]" allUniqueName="[Range 1].[Old price].[All]" dimensionUniqueName="[Range 1]" displayFolder="" count="0" memberValueDatatype="20" unbalanced="0"/>
    <cacheHierarchy uniqueName="[Range 1].[Discount]" caption="Discount" attribute="1" defaultMemberUniqueName="[Range 1].[Discount].[All]" allUniqueName="[Range 1].[Discount].[All]" dimensionUniqueName="[Range 1]" displayFolder="" count="0" memberValueDatatype="5" unbalanced="0"/>
    <cacheHierarchy uniqueName="[Range 1].[Review]" caption="Review" attribute="1" defaultMemberUniqueName="[Range 1].[Review].[All]" allUniqueName="[Range 1].[Review].[All]" dimensionUniqueName="[Range 1]" displayFolder="" count="0" memberValueDatatype="20" unbalanced="0"/>
    <cacheHierarchy uniqueName="[Range 1].[Ratings]" caption="Ratings" attribute="1" defaultMemberUniqueName="[Range 1].[Ratings].[All]" allUniqueName="[Range 1].[Ratings].[All]" dimensionUniqueName="[Range 1]" displayFolder="" count="0" memberValueDatatype="5" unbalanced="0"/>
    <cacheHierarchy uniqueName="[Range 1].[Absolute Discount]" caption="Absolute Discount" attribute="1" defaultMemberUniqueName="[Range 1].[Absolute Discount].[All]" allUniqueName="[Range 1].[Absolute Discount].[All]" dimensionUniqueName="[Range 1]" displayFolder="" count="0" memberValueDatatype="20" unbalanced="0"/>
    <cacheHierarchy uniqueName="[Range 1].[Rating Category]" caption="Rating Category" attribute="1" defaultMemberUniqueName="[Range 1].[Rating Category].[All]" allUniqueName="[Range 1].[Rating Category].[All]" dimensionUniqueName="[Range 1]" displayFolder="" count="0" memberValueDatatype="130" unbalanced="0"/>
    <cacheHierarchy uniqueName="[Range 1].[Procuct Category]" caption="Procuct Category" attribute="1" defaultMemberUniqueName="[Range 1].[Procuct Category].[All]" allUniqueName="[Range 1].[Procuct Category].[All]" dimensionUniqueName="[Range 1]" displayFolder="" count="0" memberValueDatatype="13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Ratings]" caption="Sum of Ratings" measure="1" displayFolder="" measureGroup="Range" count="0" hidden="1">
      <extLst>
        <ext xmlns:x15="http://schemas.microsoft.com/office/spreadsheetml/2010/11/main" uri="{B97F6D7D-B522-45F9-BDA1-12C45D357490}">
          <x15:cacheHierarchy aggregatedColumn="5"/>
        </ext>
      </extLst>
    </cacheHierarchy>
    <cacheHierarchy uniqueName="[Measures].[Average of Ratings]" caption="Average of Ratings" measure="1" displayFolder="" measureGroup="Range" count="0" hidden="1">
      <extLst>
        <ext xmlns:x15="http://schemas.microsoft.com/office/spreadsheetml/2010/11/main" uri="{B97F6D7D-B522-45F9-BDA1-12C45D357490}">
          <x15:cacheHierarchy aggregatedColumn="5"/>
        </ext>
      </extLst>
    </cacheHierarchy>
    <cacheHierarchy uniqueName="[Measures].[Sum of Ratings 2]" caption="Sum of Ratings 2" measure="1" displayFolder="" measureGroup="Range 1" count="0" hidden="1">
      <extLst>
        <ext xmlns:x15="http://schemas.microsoft.com/office/spreadsheetml/2010/11/main" uri="{B97F6D7D-B522-45F9-BDA1-12C45D357490}">
          <x15:cacheHierarchy aggregatedColumn="14"/>
        </ext>
      </extLst>
    </cacheHierarchy>
    <cacheHierarchy uniqueName="[Measures].[Average of Ratings 2]" caption="Average of Ratings 2" measure="1" displayFolder="" measureGroup="Range 1"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Discount]" caption="Sum of Discount" measure="1" displayFolder="" measureGroup="Range" count="0" hidden="1">
      <extLst>
        <ext xmlns:x15="http://schemas.microsoft.com/office/spreadsheetml/2010/11/main" uri="{B97F6D7D-B522-45F9-BDA1-12C45D357490}">
          <x15:cacheHierarchy aggregatedColumn="3"/>
        </ext>
      </extLst>
    </cacheHierarchy>
    <cacheHierarchy uniqueName="[Measures].[Average of Discount]" caption="Average of Discount" measure="1" displayFolder="" measureGroup="Range" count="0" hidden="1">
      <extLst>
        <ext xmlns:x15="http://schemas.microsoft.com/office/spreadsheetml/2010/11/main" uri="{B97F6D7D-B522-45F9-BDA1-12C45D357490}">
          <x15:cacheHierarchy aggregatedColumn="3"/>
        </ext>
      </extLst>
    </cacheHierarchy>
    <cacheHierarchy uniqueName="[Measures].[Count of Discount]" caption="Count of Discount" measure="1" displayFolder="" measureGroup="Range" count="0" hidden="1">
      <extLst>
        <ext xmlns:x15="http://schemas.microsoft.com/office/spreadsheetml/2010/11/main" uri="{B97F6D7D-B522-45F9-BDA1-12C45D357490}">
          <x15:cacheHierarchy aggregatedColumn="3"/>
        </ext>
      </extLst>
    </cacheHierarchy>
    <cacheHierarchy uniqueName="[Measures].[Max of Discount]" caption="Max of Discount" measure="1" displayFolder="" measureGroup="Range" count="0" hidden="1">
      <extLst>
        <ext xmlns:x15="http://schemas.microsoft.com/office/spreadsheetml/2010/11/main" uri="{B97F6D7D-B522-45F9-BDA1-12C45D357490}">
          <x15:cacheHierarchy aggregatedColumn="3"/>
        </ext>
      </extLst>
    </cacheHierarchy>
    <cacheHierarchy uniqueName="[Measures].[Sum of Review]" caption="Sum of Review" measure="1" displayFolder="" measureGroup="Range" count="0" hidden="1">
      <extLst>
        <ext xmlns:x15="http://schemas.microsoft.com/office/spreadsheetml/2010/11/main" uri="{B97F6D7D-B522-45F9-BDA1-12C45D357490}">
          <x15:cacheHierarchy aggregatedColumn="4"/>
        </ext>
      </extLst>
    </cacheHierarchy>
    <cacheHierarchy uniqueName="[Measures].[Max of Review]" caption="Max of Review" measure="1" displayFolder="" measureGroup="Range" count="0" hidden="1">
      <extLst>
        <ext xmlns:x15="http://schemas.microsoft.com/office/spreadsheetml/2010/11/main" uri="{B97F6D7D-B522-45F9-BDA1-12C45D357490}">
          <x15:cacheHierarchy aggregatedColumn="4"/>
        </ext>
      </extLst>
    </cacheHierarchy>
    <cacheHierarchy uniqueName="[Measures].[Count of Ratings]" caption="Count of Ratings" measure="1" displayFolder="" measureGroup="Range" count="0" hidden="1">
      <extLst>
        <ext xmlns:x15="http://schemas.microsoft.com/office/spreadsheetml/2010/11/main" uri="{B97F6D7D-B522-45F9-BDA1-12C45D357490}">
          <x15:cacheHierarchy aggregatedColumn="5"/>
        </ext>
      </extLst>
    </cacheHierarchy>
    <cacheHierarchy uniqueName="[Measures].[Max of Ratings]" caption="Max of Ratings" measure="1" displayFolder="" measureGroup="Range" count="0" hidden="1">
      <extLst>
        <ext xmlns:x15="http://schemas.microsoft.com/office/spreadsheetml/2010/11/main" uri="{B97F6D7D-B522-45F9-BDA1-12C45D357490}">
          <x15:cacheHierarchy aggregatedColumn="5"/>
        </ext>
      </extLst>
    </cacheHierarchy>
    <cacheHierarchy uniqueName="[Measures].[Count of Rating Category]" caption="Count of Rating Category" measure="1" displayFolder="" measureGroup="Range" count="0" hidden="1">
      <extLst>
        <ext xmlns:x15="http://schemas.microsoft.com/office/spreadsheetml/2010/11/main" uri="{B97F6D7D-B522-45F9-BDA1-12C45D357490}">
          <x15:cacheHierarchy aggregatedColumn="7"/>
        </ext>
      </extLst>
    </cacheHierarchy>
    <cacheHierarchy uniqueName="[Measures].[Count of Procuct Category]" caption="Count of Procuct Category" measure="1" displayFolder="" measureGroup="Range" count="0" hidden="1">
      <extLst>
        <ext xmlns:x15="http://schemas.microsoft.com/office/spreadsheetml/2010/11/main" uri="{B97F6D7D-B522-45F9-BDA1-12C45D357490}">
          <x15:cacheHierarchy aggregatedColumn="8"/>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85.625449074076" backgroundQuery="1" createdVersion="8" refreshedVersion="8" minRefreshableVersion="3" recordCount="0" supportSubquery="1" supportAdvancedDrill="1" xr:uid="{76351110-FFFF-4C73-966A-537FC7D5411F}">
  <cacheSource type="external" connectionId="1"/>
  <cacheFields count="3">
    <cacheField name="[Range].[Product].[Product]" caption="Product" numFmtId="0" level="1">
      <sharedItems count="10">
        <s v="3PCS Single Head Knitting Crochet Sweater Needle Set"/>
        <s v="5-PCS Stainless Steel Cooking Pot Set With Steamed Slices"/>
        <s v="6 In 1 Bottle Can Opener Multifunctional Easy Opener"/>
        <s v="Classic Black Cat Cotton Hemp Pillow Case For Home Car"/>
        <s v="Creative Owl Shape Keychain Black"/>
        <s v="Exfoliate And Exfoliate Face Towel - Black"/>
        <s v="LASA 3 Tier Bamboo Shoe Bench Storage Shelf"/>
        <s v="LASA FOLDING TABLE SERVING STAND"/>
        <s v="Mythco 120COB Solar Wall Ligt With Motion Sensor And Remote Control 3 Modes"/>
        <s v="Simple Metal Dog Art Sculpture Decoration For Home Office"/>
      </sharedItems>
    </cacheField>
    <cacheField name="[Measures].[Max of Discount]" caption="Max of Discount" numFmtId="0" hierarchy="28" level="32767"/>
    <cacheField name="[Range].[Rating Category].[Rating Category]" caption="Rating Category" numFmtId="0" hierarchy="7" level="1">
      <sharedItems containsSemiMixedTypes="0" containsNonDate="0" containsString="0"/>
    </cacheField>
  </cacheFields>
  <cacheHierarchies count="35">
    <cacheHierarchy uniqueName="[Range].[Product]" caption="Product" attribute="1" defaultMemberUniqueName="[Range].[Product].[All]" allUniqueName="[Range].[Product].[All]" dimensionUniqueName="[Range]" displayFolder="" count="2" memberValueDatatype="130" unbalanced="0">
      <fieldsUsage count="2">
        <fieldUsage x="-1"/>
        <fieldUsage x="0"/>
      </fieldsUsage>
    </cacheHierarchy>
    <cacheHierarchy uniqueName="[Range].[Current price]" caption="Current price" attribute="1" defaultMemberUniqueName="[Range].[Current price].[All]" allUniqueName="[Range].[Current price].[All]" dimensionUniqueName="[Range]" displayFolder="" count="0" memberValueDatatype="20" unbalanced="0"/>
    <cacheHierarchy uniqueName="[Range].[Old price]" caption="Old price" attribute="1" defaultMemberUniqueName="[Range].[Old price].[All]" allUniqueName="[Range].[Old price].[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Review]" caption="Review" attribute="1" defaultMemberUniqueName="[Range].[Review].[All]" allUniqueName="[Range].[Review].[All]" dimensionUniqueName="[Range]" displayFolder="" count="0" memberValueDatatype="20" unbalanced="0"/>
    <cacheHierarchy uniqueName="[Range].[Ratings]" caption="Ratings" attribute="1" defaultMemberUniqueName="[Range].[Ratings].[All]" allUniqueName="[Range].[Ratings].[All]" dimensionUniqueName="[Range]" displayFolder="" count="2" memberValueDatatype="5" unbalanced="0"/>
    <cacheHierarchy uniqueName="[Range].[Absolute Discount]" caption="Absolute Discount" attribute="1" defaultMemberUniqueName="[Range].[Absolute Discount].[All]" allUniqueName="[Range].[Absolute Discount].[All]" dimensionUniqueName="[Range]" displayFolder="" count="0" memberValueDatatype="20" unbalanced="0"/>
    <cacheHierarchy uniqueName="[Range].[Rating Category]" caption="Rating Category" attribute="1" defaultMemberUniqueName="[Range].[Rating Category].[All]" allUniqueName="[Range].[Rating Category].[All]" dimensionUniqueName="[Range]" displayFolder="" count="2" memberValueDatatype="130" unbalanced="0">
      <fieldsUsage count="2">
        <fieldUsage x="-1"/>
        <fieldUsage x="2"/>
      </fieldsUsage>
    </cacheHierarchy>
    <cacheHierarchy uniqueName="[Range].[Procuct Category]" caption="Procuct Category" attribute="1" defaultMemberUniqueName="[Range].[Procuct Category].[All]" allUniqueName="[Range].[Procuct Category].[All]" dimensionUniqueName="[Range]" displayFolder="" count="0" memberValueDatatype="130" unbalanced="0"/>
    <cacheHierarchy uniqueName="[Range 1].[Product]" caption="Product" attribute="1" defaultMemberUniqueName="[Range 1].[Product].[All]" allUniqueName="[Range 1].[Product].[All]" dimensionUniqueName="[Range 1]" displayFolder="" count="0" memberValueDatatype="130" unbalanced="0"/>
    <cacheHierarchy uniqueName="[Range 1].[Current price]" caption="Current price" attribute="1" defaultMemberUniqueName="[Range 1].[Current price].[All]" allUniqueName="[Range 1].[Current price].[All]" dimensionUniqueName="[Range 1]" displayFolder="" count="0" memberValueDatatype="130" unbalanced="0"/>
    <cacheHierarchy uniqueName="[Range 1].[Old price]" caption="Old price" attribute="1" defaultMemberUniqueName="[Range 1].[Old price].[All]" allUniqueName="[Range 1].[Old price].[All]" dimensionUniqueName="[Range 1]" displayFolder="" count="0" memberValueDatatype="20" unbalanced="0"/>
    <cacheHierarchy uniqueName="[Range 1].[Discount]" caption="Discount" attribute="1" defaultMemberUniqueName="[Range 1].[Discount].[All]" allUniqueName="[Range 1].[Discount].[All]" dimensionUniqueName="[Range 1]" displayFolder="" count="0" memberValueDatatype="5" unbalanced="0"/>
    <cacheHierarchy uniqueName="[Range 1].[Review]" caption="Review" attribute="1" defaultMemberUniqueName="[Range 1].[Review].[All]" allUniqueName="[Range 1].[Review].[All]" dimensionUniqueName="[Range 1]" displayFolder="" count="0" memberValueDatatype="20" unbalanced="0"/>
    <cacheHierarchy uniqueName="[Range 1].[Ratings]" caption="Ratings" attribute="1" defaultMemberUniqueName="[Range 1].[Ratings].[All]" allUniqueName="[Range 1].[Ratings].[All]" dimensionUniqueName="[Range 1]" displayFolder="" count="0" memberValueDatatype="5" unbalanced="0"/>
    <cacheHierarchy uniqueName="[Range 1].[Absolute Discount]" caption="Absolute Discount" attribute="1" defaultMemberUniqueName="[Range 1].[Absolute Discount].[All]" allUniqueName="[Range 1].[Absolute Discount].[All]" dimensionUniqueName="[Range 1]" displayFolder="" count="0" memberValueDatatype="20" unbalanced="0"/>
    <cacheHierarchy uniqueName="[Range 1].[Rating Category]" caption="Rating Category" attribute="1" defaultMemberUniqueName="[Range 1].[Rating Category].[All]" allUniqueName="[Range 1].[Rating Category].[All]" dimensionUniqueName="[Range 1]" displayFolder="" count="0" memberValueDatatype="130" unbalanced="0"/>
    <cacheHierarchy uniqueName="[Range 1].[Procuct Category]" caption="Procuct Category" attribute="1" defaultMemberUniqueName="[Range 1].[Procuct Category].[All]" allUniqueName="[Range 1].[Procuct Category].[All]" dimensionUniqueName="[Range 1]" displayFolder="" count="0" memberValueDatatype="13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Ratings]" caption="Sum of Ratings" measure="1" displayFolder="" measureGroup="Range" count="0" hidden="1">
      <extLst>
        <ext xmlns:x15="http://schemas.microsoft.com/office/spreadsheetml/2010/11/main" uri="{B97F6D7D-B522-45F9-BDA1-12C45D357490}">
          <x15:cacheHierarchy aggregatedColumn="5"/>
        </ext>
      </extLst>
    </cacheHierarchy>
    <cacheHierarchy uniqueName="[Measures].[Average of Ratings]" caption="Average of Ratings" measure="1" displayFolder="" measureGroup="Range" count="0" hidden="1">
      <extLst>
        <ext xmlns:x15="http://schemas.microsoft.com/office/spreadsheetml/2010/11/main" uri="{B97F6D7D-B522-45F9-BDA1-12C45D357490}">
          <x15:cacheHierarchy aggregatedColumn="5"/>
        </ext>
      </extLst>
    </cacheHierarchy>
    <cacheHierarchy uniqueName="[Measures].[Sum of Ratings 2]" caption="Sum of Ratings 2" measure="1" displayFolder="" measureGroup="Range 1" count="0" hidden="1">
      <extLst>
        <ext xmlns:x15="http://schemas.microsoft.com/office/spreadsheetml/2010/11/main" uri="{B97F6D7D-B522-45F9-BDA1-12C45D357490}">
          <x15:cacheHierarchy aggregatedColumn="14"/>
        </ext>
      </extLst>
    </cacheHierarchy>
    <cacheHierarchy uniqueName="[Measures].[Average of Ratings 2]" caption="Average of Ratings 2" measure="1" displayFolder="" measureGroup="Range 1" count="0" hidden="1">
      <extLst>
        <ext xmlns:x15="http://schemas.microsoft.com/office/spreadsheetml/2010/11/main" uri="{B97F6D7D-B522-45F9-BDA1-12C45D357490}">
          <x15:cacheHierarchy aggregatedColumn="14"/>
        </ext>
      </extLst>
    </cacheHierarchy>
    <cacheHierarchy uniqueName="[Measures].[Sum of Discount]" caption="Sum of Discount" measure="1" displayFolder="" measureGroup="Range" count="0" hidden="1">
      <extLst>
        <ext xmlns:x15="http://schemas.microsoft.com/office/spreadsheetml/2010/11/main" uri="{B97F6D7D-B522-45F9-BDA1-12C45D357490}">
          <x15:cacheHierarchy aggregatedColumn="3"/>
        </ext>
      </extLst>
    </cacheHierarchy>
    <cacheHierarchy uniqueName="[Measures].[Average of Discount]" caption="Average of Discount" measure="1" displayFolder="" measureGroup="Range" count="0" hidden="1">
      <extLst>
        <ext xmlns:x15="http://schemas.microsoft.com/office/spreadsheetml/2010/11/main" uri="{B97F6D7D-B522-45F9-BDA1-12C45D357490}">
          <x15:cacheHierarchy aggregatedColumn="3"/>
        </ext>
      </extLst>
    </cacheHierarchy>
    <cacheHierarchy uniqueName="[Measures].[Count of Discount]" caption="Count of Discount" measure="1" displayFolder="" measureGroup="Range" count="0" hidden="1">
      <extLst>
        <ext xmlns:x15="http://schemas.microsoft.com/office/spreadsheetml/2010/11/main" uri="{B97F6D7D-B522-45F9-BDA1-12C45D357490}">
          <x15:cacheHierarchy aggregatedColumn="3"/>
        </ext>
      </extLst>
    </cacheHierarchy>
    <cacheHierarchy uniqueName="[Measures].[Max of Discount]" caption="Max of Discount" measure="1" displayFolder="" measureGroup="Range" count="0" oneField="1" hidden="1">
      <fieldsUsage count="1">
        <fieldUsage x="1"/>
      </fieldsUsage>
      <extLst>
        <ext xmlns:x15="http://schemas.microsoft.com/office/spreadsheetml/2010/11/main" uri="{B97F6D7D-B522-45F9-BDA1-12C45D357490}">
          <x15:cacheHierarchy aggregatedColumn="3"/>
        </ext>
      </extLst>
    </cacheHierarchy>
    <cacheHierarchy uniqueName="[Measures].[Sum of Review]" caption="Sum of Review" measure="1" displayFolder="" measureGroup="Range" count="0" hidden="1">
      <extLst>
        <ext xmlns:x15="http://schemas.microsoft.com/office/spreadsheetml/2010/11/main" uri="{B97F6D7D-B522-45F9-BDA1-12C45D357490}">
          <x15:cacheHierarchy aggregatedColumn="4"/>
        </ext>
      </extLst>
    </cacheHierarchy>
    <cacheHierarchy uniqueName="[Measures].[Max of Review]" caption="Max of Review" measure="1" displayFolder="" measureGroup="Range" count="0" hidden="1">
      <extLst>
        <ext xmlns:x15="http://schemas.microsoft.com/office/spreadsheetml/2010/11/main" uri="{B97F6D7D-B522-45F9-BDA1-12C45D357490}">
          <x15:cacheHierarchy aggregatedColumn="4"/>
        </ext>
      </extLst>
    </cacheHierarchy>
    <cacheHierarchy uniqueName="[Measures].[Count of Ratings]" caption="Count of Ratings" measure="1" displayFolder="" measureGroup="Range" count="0" hidden="1">
      <extLst>
        <ext xmlns:x15="http://schemas.microsoft.com/office/spreadsheetml/2010/11/main" uri="{B97F6D7D-B522-45F9-BDA1-12C45D357490}">
          <x15:cacheHierarchy aggregatedColumn="5"/>
        </ext>
      </extLst>
    </cacheHierarchy>
    <cacheHierarchy uniqueName="[Measures].[Max of Ratings]" caption="Max of Ratings" measure="1" displayFolder="" measureGroup="Range" count="0" hidden="1">
      <extLst>
        <ext xmlns:x15="http://schemas.microsoft.com/office/spreadsheetml/2010/11/main" uri="{B97F6D7D-B522-45F9-BDA1-12C45D357490}">
          <x15:cacheHierarchy aggregatedColumn="5"/>
        </ext>
      </extLst>
    </cacheHierarchy>
    <cacheHierarchy uniqueName="[Measures].[Count of Rating Category]" caption="Count of Rating Category" measure="1" displayFolder="" measureGroup="Range" count="0" hidden="1">
      <extLst>
        <ext xmlns:x15="http://schemas.microsoft.com/office/spreadsheetml/2010/11/main" uri="{B97F6D7D-B522-45F9-BDA1-12C45D357490}">
          <x15:cacheHierarchy aggregatedColumn="7"/>
        </ext>
      </extLst>
    </cacheHierarchy>
    <cacheHierarchy uniqueName="[Measures].[Count of Procuct Category]" caption="Count of Procuct Category" measure="1" displayFolder="" measureGroup="Range" count="0" hidden="1">
      <extLst>
        <ext xmlns:x15="http://schemas.microsoft.com/office/spreadsheetml/2010/11/main" uri="{B97F6D7D-B522-45F9-BDA1-12C45D357490}">
          <x15:cacheHierarchy aggregatedColumn="8"/>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85.625449537038" backgroundQuery="1" createdVersion="8" refreshedVersion="8" minRefreshableVersion="3" recordCount="0" supportSubquery="1" supportAdvancedDrill="1" xr:uid="{6F031D0D-E33A-425F-B04B-AD2F48BBEC39}">
  <cacheSource type="external" connectionId="1"/>
  <cacheFields count="3">
    <cacheField name="[Range].[Product].[Product]" caption="Product" numFmtId="0" level="1">
      <sharedItems count="10">
        <s v="100 Pcs Crochet Hook Tool Set Knitting Hook Set With Box"/>
        <s v="120W Cordless Vacuum Cleaners Handheld Electric Vacuum Cleaner"/>
        <s v="137 Pieces Cake Decorating Tool Set Baking Supplies"/>
        <s v="3D Waterproof EVA Plastic Shower Curtain 1.8*2Mtrs"/>
        <s v="52 Pieces Cake Decorating Tool Set Gift Kit Baking Supplies"/>
        <s v="53 Pieces/Set Yarn Knitting Crochet Hooks With Bag - Pansies"/>
        <s v="53Pcs/Set Yarn Knitting Crochet Hooks With Bag - Fortune Cat"/>
        <s v="Electronic Digital Display Vernier Caliper"/>
        <s v="Portable Mini Cordless Car Vacuum Cleaner - Blue"/>
        <s v="Punch-free Great Load Bearing Bathroom Storage Rack Wall Shelf-White"/>
      </sharedItems>
    </cacheField>
    <cacheField name="[Measures].[Max of Review]" caption="Max of Review" numFmtId="0" hierarchy="30" level="32767"/>
    <cacheField name="[Range].[Rating Category].[Rating Category]" caption="Rating Category" numFmtId="0" hierarchy="7" level="1">
      <sharedItems containsSemiMixedTypes="0" containsNonDate="0" containsString="0"/>
    </cacheField>
  </cacheFields>
  <cacheHierarchies count="35">
    <cacheHierarchy uniqueName="[Range].[Product]" caption="Product" attribute="1" defaultMemberUniqueName="[Range].[Product].[All]" allUniqueName="[Range].[Product].[All]" dimensionUniqueName="[Range]" displayFolder="" count="2" memberValueDatatype="130" unbalanced="0">
      <fieldsUsage count="2">
        <fieldUsage x="-1"/>
        <fieldUsage x="0"/>
      </fieldsUsage>
    </cacheHierarchy>
    <cacheHierarchy uniqueName="[Range].[Current price]" caption="Current price" attribute="1" defaultMemberUniqueName="[Range].[Current price].[All]" allUniqueName="[Range].[Current price].[All]" dimensionUniqueName="[Range]" displayFolder="" count="0" memberValueDatatype="20" unbalanced="0"/>
    <cacheHierarchy uniqueName="[Range].[Old price]" caption="Old price" attribute="1" defaultMemberUniqueName="[Range].[Old price].[All]" allUniqueName="[Range].[Old price].[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Review]" caption="Review" attribute="1" defaultMemberUniqueName="[Range].[Review].[All]" allUniqueName="[Range].[Review].[All]" dimensionUniqueName="[Range]" displayFolder="" count="0" memberValueDatatype="20" unbalanced="0"/>
    <cacheHierarchy uniqueName="[Range].[Ratings]" caption="Ratings" attribute="1" defaultMemberUniqueName="[Range].[Ratings].[All]" allUniqueName="[Range].[Ratings].[All]" dimensionUniqueName="[Range]" displayFolder="" count="2" memberValueDatatype="5" unbalanced="0"/>
    <cacheHierarchy uniqueName="[Range].[Absolute Discount]" caption="Absolute Discount" attribute="1" defaultMemberUniqueName="[Range].[Absolute Discount].[All]" allUniqueName="[Range].[Absolute Discount].[All]" dimensionUniqueName="[Range]" displayFolder="" count="0" memberValueDatatype="20" unbalanced="0"/>
    <cacheHierarchy uniqueName="[Range].[Rating Category]" caption="Rating Category" attribute="1" defaultMemberUniqueName="[Range].[Rating Category].[All]" allUniqueName="[Range].[Rating Category].[All]" dimensionUniqueName="[Range]" displayFolder="" count="2" memberValueDatatype="130" unbalanced="0">
      <fieldsUsage count="2">
        <fieldUsage x="-1"/>
        <fieldUsage x="2"/>
      </fieldsUsage>
    </cacheHierarchy>
    <cacheHierarchy uniqueName="[Range].[Procuct Category]" caption="Procuct Category" attribute="1" defaultMemberUniqueName="[Range].[Procuct Category].[All]" allUniqueName="[Range].[Procuct Category].[All]" dimensionUniqueName="[Range]" displayFolder="" count="0" memberValueDatatype="130" unbalanced="0"/>
    <cacheHierarchy uniqueName="[Range 1].[Product]" caption="Product" attribute="1" defaultMemberUniqueName="[Range 1].[Product].[All]" allUniqueName="[Range 1].[Product].[All]" dimensionUniqueName="[Range 1]" displayFolder="" count="0" memberValueDatatype="130" unbalanced="0"/>
    <cacheHierarchy uniqueName="[Range 1].[Current price]" caption="Current price" attribute="1" defaultMemberUniqueName="[Range 1].[Current price].[All]" allUniqueName="[Range 1].[Current price].[All]" dimensionUniqueName="[Range 1]" displayFolder="" count="0" memberValueDatatype="130" unbalanced="0"/>
    <cacheHierarchy uniqueName="[Range 1].[Old price]" caption="Old price" attribute="1" defaultMemberUniqueName="[Range 1].[Old price].[All]" allUniqueName="[Range 1].[Old price].[All]" dimensionUniqueName="[Range 1]" displayFolder="" count="0" memberValueDatatype="20" unbalanced="0"/>
    <cacheHierarchy uniqueName="[Range 1].[Discount]" caption="Discount" attribute="1" defaultMemberUniqueName="[Range 1].[Discount].[All]" allUniqueName="[Range 1].[Discount].[All]" dimensionUniqueName="[Range 1]" displayFolder="" count="0" memberValueDatatype="5" unbalanced="0"/>
    <cacheHierarchy uniqueName="[Range 1].[Review]" caption="Review" attribute="1" defaultMemberUniqueName="[Range 1].[Review].[All]" allUniqueName="[Range 1].[Review].[All]" dimensionUniqueName="[Range 1]" displayFolder="" count="0" memberValueDatatype="20" unbalanced="0"/>
    <cacheHierarchy uniqueName="[Range 1].[Ratings]" caption="Ratings" attribute="1" defaultMemberUniqueName="[Range 1].[Ratings].[All]" allUniqueName="[Range 1].[Ratings].[All]" dimensionUniqueName="[Range 1]" displayFolder="" count="0" memberValueDatatype="5" unbalanced="0"/>
    <cacheHierarchy uniqueName="[Range 1].[Absolute Discount]" caption="Absolute Discount" attribute="1" defaultMemberUniqueName="[Range 1].[Absolute Discount].[All]" allUniqueName="[Range 1].[Absolute Discount].[All]" dimensionUniqueName="[Range 1]" displayFolder="" count="0" memberValueDatatype="20" unbalanced="0"/>
    <cacheHierarchy uniqueName="[Range 1].[Rating Category]" caption="Rating Category" attribute="1" defaultMemberUniqueName="[Range 1].[Rating Category].[All]" allUniqueName="[Range 1].[Rating Category].[All]" dimensionUniqueName="[Range 1]" displayFolder="" count="0" memberValueDatatype="130" unbalanced="0"/>
    <cacheHierarchy uniqueName="[Range 1].[Procuct Category]" caption="Procuct Category" attribute="1" defaultMemberUniqueName="[Range 1].[Procuct Category].[All]" allUniqueName="[Range 1].[Procuct Category].[All]" dimensionUniqueName="[Range 1]" displayFolder="" count="0" memberValueDatatype="13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Ratings]" caption="Sum of Ratings" measure="1" displayFolder="" measureGroup="Range" count="0" hidden="1">
      <extLst>
        <ext xmlns:x15="http://schemas.microsoft.com/office/spreadsheetml/2010/11/main" uri="{B97F6D7D-B522-45F9-BDA1-12C45D357490}">
          <x15:cacheHierarchy aggregatedColumn="5"/>
        </ext>
      </extLst>
    </cacheHierarchy>
    <cacheHierarchy uniqueName="[Measures].[Average of Ratings]" caption="Average of Ratings" measure="1" displayFolder="" measureGroup="Range" count="0" hidden="1">
      <extLst>
        <ext xmlns:x15="http://schemas.microsoft.com/office/spreadsheetml/2010/11/main" uri="{B97F6D7D-B522-45F9-BDA1-12C45D357490}">
          <x15:cacheHierarchy aggregatedColumn="5"/>
        </ext>
      </extLst>
    </cacheHierarchy>
    <cacheHierarchy uniqueName="[Measures].[Sum of Ratings 2]" caption="Sum of Ratings 2" measure="1" displayFolder="" measureGroup="Range 1" count="0" hidden="1">
      <extLst>
        <ext xmlns:x15="http://schemas.microsoft.com/office/spreadsheetml/2010/11/main" uri="{B97F6D7D-B522-45F9-BDA1-12C45D357490}">
          <x15:cacheHierarchy aggregatedColumn="14"/>
        </ext>
      </extLst>
    </cacheHierarchy>
    <cacheHierarchy uniqueName="[Measures].[Average of Ratings 2]" caption="Average of Ratings 2" measure="1" displayFolder="" measureGroup="Range 1" count="0" hidden="1">
      <extLst>
        <ext xmlns:x15="http://schemas.microsoft.com/office/spreadsheetml/2010/11/main" uri="{B97F6D7D-B522-45F9-BDA1-12C45D357490}">
          <x15:cacheHierarchy aggregatedColumn="14"/>
        </ext>
      </extLst>
    </cacheHierarchy>
    <cacheHierarchy uniqueName="[Measures].[Sum of Discount]" caption="Sum of Discount" measure="1" displayFolder="" measureGroup="Range" count="0" hidden="1">
      <extLst>
        <ext xmlns:x15="http://schemas.microsoft.com/office/spreadsheetml/2010/11/main" uri="{B97F6D7D-B522-45F9-BDA1-12C45D357490}">
          <x15:cacheHierarchy aggregatedColumn="3"/>
        </ext>
      </extLst>
    </cacheHierarchy>
    <cacheHierarchy uniqueName="[Measures].[Average of Discount]" caption="Average of Discount" measure="1" displayFolder="" measureGroup="Range" count="0" hidden="1">
      <extLst>
        <ext xmlns:x15="http://schemas.microsoft.com/office/spreadsheetml/2010/11/main" uri="{B97F6D7D-B522-45F9-BDA1-12C45D357490}">
          <x15:cacheHierarchy aggregatedColumn="3"/>
        </ext>
      </extLst>
    </cacheHierarchy>
    <cacheHierarchy uniqueName="[Measures].[Count of Discount]" caption="Count of Discount" measure="1" displayFolder="" measureGroup="Range" count="0" hidden="1">
      <extLst>
        <ext xmlns:x15="http://schemas.microsoft.com/office/spreadsheetml/2010/11/main" uri="{B97F6D7D-B522-45F9-BDA1-12C45D357490}">
          <x15:cacheHierarchy aggregatedColumn="3"/>
        </ext>
      </extLst>
    </cacheHierarchy>
    <cacheHierarchy uniqueName="[Measures].[Max of Discount]" caption="Max of Discount" measure="1" displayFolder="" measureGroup="Range" count="0" hidden="1">
      <extLst>
        <ext xmlns:x15="http://schemas.microsoft.com/office/spreadsheetml/2010/11/main" uri="{B97F6D7D-B522-45F9-BDA1-12C45D357490}">
          <x15:cacheHierarchy aggregatedColumn="3"/>
        </ext>
      </extLst>
    </cacheHierarchy>
    <cacheHierarchy uniqueName="[Measures].[Sum of Review]" caption="Sum of Review" measure="1" displayFolder="" measureGroup="Range" count="0" hidden="1">
      <extLst>
        <ext xmlns:x15="http://schemas.microsoft.com/office/spreadsheetml/2010/11/main" uri="{B97F6D7D-B522-45F9-BDA1-12C45D357490}">
          <x15:cacheHierarchy aggregatedColumn="4"/>
        </ext>
      </extLst>
    </cacheHierarchy>
    <cacheHierarchy uniqueName="[Measures].[Max of Review]" caption="Max of Review" measure="1" displayFolder="" measureGroup="Range" count="0" oneField="1" hidden="1">
      <fieldsUsage count="1">
        <fieldUsage x="1"/>
      </fieldsUsage>
      <extLst>
        <ext xmlns:x15="http://schemas.microsoft.com/office/spreadsheetml/2010/11/main" uri="{B97F6D7D-B522-45F9-BDA1-12C45D357490}">
          <x15:cacheHierarchy aggregatedColumn="4"/>
        </ext>
      </extLst>
    </cacheHierarchy>
    <cacheHierarchy uniqueName="[Measures].[Count of Ratings]" caption="Count of Ratings" measure="1" displayFolder="" measureGroup="Range" count="0" hidden="1">
      <extLst>
        <ext xmlns:x15="http://schemas.microsoft.com/office/spreadsheetml/2010/11/main" uri="{B97F6D7D-B522-45F9-BDA1-12C45D357490}">
          <x15:cacheHierarchy aggregatedColumn="5"/>
        </ext>
      </extLst>
    </cacheHierarchy>
    <cacheHierarchy uniqueName="[Measures].[Max of Ratings]" caption="Max of Ratings" measure="1" displayFolder="" measureGroup="Range" count="0" hidden="1">
      <extLst>
        <ext xmlns:x15="http://schemas.microsoft.com/office/spreadsheetml/2010/11/main" uri="{B97F6D7D-B522-45F9-BDA1-12C45D357490}">
          <x15:cacheHierarchy aggregatedColumn="5"/>
        </ext>
      </extLst>
    </cacheHierarchy>
    <cacheHierarchy uniqueName="[Measures].[Count of Rating Category]" caption="Count of Rating Category" measure="1" displayFolder="" measureGroup="Range" count="0" hidden="1">
      <extLst>
        <ext xmlns:x15="http://schemas.microsoft.com/office/spreadsheetml/2010/11/main" uri="{B97F6D7D-B522-45F9-BDA1-12C45D357490}">
          <x15:cacheHierarchy aggregatedColumn="7"/>
        </ext>
      </extLst>
    </cacheHierarchy>
    <cacheHierarchy uniqueName="[Measures].[Count of Procuct Category]" caption="Count of Procuct Category" measure="1" displayFolder="" measureGroup="Range" count="0" hidden="1">
      <extLst>
        <ext xmlns:x15="http://schemas.microsoft.com/office/spreadsheetml/2010/11/main" uri="{B97F6D7D-B522-45F9-BDA1-12C45D357490}">
          <x15:cacheHierarchy aggregatedColumn="8"/>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85.626081828705" backgroundQuery="1" createdVersion="8" refreshedVersion="8" minRefreshableVersion="3" recordCount="0" supportSubquery="1" supportAdvancedDrill="1" xr:uid="{795E7A0E-CED1-487C-A13F-B29FB4F793F6}">
  <cacheSource type="external" connectionId="1"/>
  <cacheFields count="4">
    <cacheField name="[Range].[Product].[Product]" caption="Product" numFmtId="0" level="1">
      <sharedItems count="10">
        <s v="1/2/3 Seater Elastic Sofa Cover,Living Room/Home Decor Chair Cover-Grey"/>
        <s v="100 Pcs Crochet Hook Tool Set Knitting Hook Set With Box"/>
        <s v="115  Piece Set Of Multifunctional Precision Screwdrivers"/>
        <s v="12 Litre Black Insulated Lunch Box"/>
        <s v="12 Litre Insulated Lunch Box Grey"/>
        <s v="120W Cordless Vacuum Cleaners Handheld Electric Vacuum Cleaner"/>
        <s v="13 In 1 Home Repair Tools Box Kit Set"/>
        <s v="137 Pieces Cake Decorating Tool Set Baking Supplies"/>
        <s v="220V 60W Electric Soldering Iron Kits With Tools, Tips, And Multimeter"/>
        <s v="32PCS Portable Cordless Drill Set With Cyclic Battery Drive -26 Variable Speed"/>
      </sharedItems>
    </cacheField>
    <cacheField name="[Range].[Procuct Category].[Procuct Category]" caption="Procuct Category" numFmtId="0" hierarchy="8" level="1">
      <sharedItems count="3">
        <s v="High Discount"/>
        <s v="Low Discount"/>
        <s v="Medium Discount"/>
      </sharedItems>
    </cacheField>
    <cacheField name="[Range].[Rating Category].[Rating Category]" caption="Rating Category" numFmtId="0" hierarchy="7" level="1">
      <sharedItems count="4">
        <s v=""/>
        <s v="Average"/>
        <s v="Excellent"/>
        <s v="Poor"/>
      </sharedItems>
    </cacheField>
    <cacheField name="[Measures].[Count of Ratings]" caption="Count of Ratings" numFmtId="0" hierarchy="31" level="32767"/>
  </cacheFields>
  <cacheHierarchies count="35">
    <cacheHierarchy uniqueName="[Range].[Product]" caption="Product" attribute="1" defaultMemberUniqueName="[Range].[Product].[All]" allUniqueName="[Range].[Product].[All]" dimensionUniqueName="[Range]" displayFolder="" count="2" memberValueDatatype="130" unbalanced="0">
      <fieldsUsage count="2">
        <fieldUsage x="-1"/>
        <fieldUsage x="0"/>
      </fieldsUsage>
    </cacheHierarchy>
    <cacheHierarchy uniqueName="[Range].[Current price]" caption="Current price" attribute="1" defaultMemberUniqueName="[Range].[Current price].[All]" allUniqueName="[Range].[Current price].[All]" dimensionUniqueName="[Range]" displayFolder="" count="2" memberValueDatatype="20" unbalanced="0"/>
    <cacheHierarchy uniqueName="[Range].[Old price]" caption="Old price" attribute="1" defaultMemberUniqueName="[Range].[Old price].[All]" allUniqueName="[Range].[Old price].[All]" dimensionUniqueName="[Range]" displayFolder="" count="2" memberValueDatatype="20" unbalanced="0"/>
    <cacheHierarchy uniqueName="[Range].[Discount]" caption="Discount" attribute="1" defaultMemberUniqueName="[Range].[Discount].[All]" allUniqueName="[Range].[Discount].[All]" dimensionUniqueName="[Range]" displayFolder="" count="2" memberValueDatatype="5" unbalanced="0"/>
    <cacheHierarchy uniqueName="[Range].[Review]" caption="Review" attribute="1" defaultMemberUniqueName="[Range].[Review].[All]" allUniqueName="[Range].[Review].[All]" dimensionUniqueName="[Range]" displayFolder="" count="2" memberValueDatatype="20" unbalanced="0"/>
    <cacheHierarchy uniqueName="[Range].[Ratings]" caption="Ratings" attribute="1" defaultMemberUniqueName="[Range].[Ratings].[All]" allUniqueName="[Range].[Ratings].[All]" dimensionUniqueName="[Range]" displayFolder="" count="2" memberValueDatatype="5" unbalanced="0"/>
    <cacheHierarchy uniqueName="[Range].[Absolute Discount]" caption="Absolute Discount" attribute="1" defaultMemberUniqueName="[Range].[Absolute Discount].[All]" allUniqueName="[Range].[Absolute Discount].[All]" dimensionUniqueName="[Range]" displayFolder="" count="2" memberValueDatatype="20" unbalanced="0"/>
    <cacheHierarchy uniqueName="[Range].[Rating Category]" caption="Rating Category" attribute="1" defaultMemberUniqueName="[Range].[Rating Category].[All]" allUniqueName="[Range].[Rating Category].[All]" dimensionUniqueName="[Range]" displayFolder="" count="2" memberValueDatatype="130" unbalanced="0">
      <fieldsUsage count="2">
        <fieldUsage x="-1"/>
        <fieldUsage x="2"/>
      </fieldsUsage>
    </cacheHierarchy>
    <cacheHierarchy uniqueName="[Range].[Procuct Category]" caption="Procuct Category" attribute="1" defaultMemberUniqueName="[Range].[Procuct Category].[All]" allUniqueName="[Range].[Procuct Category].[All]" dimensionUniqueName="[Range]" displayFolder="" count="2" memberValueDatatype="130" unbalanced="0">
      <fieldsUsage count="2">
        <fieldUsage x="-1"/>
        <fieldUsage x="1"/>
      </fieldsUsage>
    </cacheHierarchy>
    <cacheHierarchy uniqueName="[Range 1].[Product]" caption="Product" attribute="1" defaultMemberUniqueName="[Range 1].[Product].[All]" allUniqueName="[Range 1].[Product].[All]" dimensionUniqueName="[Range 1]" displayFolder="" count="2" memberValueDatatype="130" unbalanced="0"/>
    <cacheHierarchy uniqueName="[Range 1].[Current price]" caption="Current price" attribute="1" defaultMemberUniqueName="[Range 1].[Current price].[All]" allUniqueName="[Range 1].[Current price].[All]" dimensionUniqueName="[Range 1]" displayFolder="" count="2" memberValueDatatype="130" unbalanced="0"/>
    <cacheHierarchy uniqueName="[Range 1].[Old price]" caption="Old price" attribute="1" defaultMemberUniqueName="[Range 1].[Old price].[All]" allUniqueName="[Range 1].[Old price].[All]" dimensionUniqueName="[Range 1]" displayFolder="" count="2" memberValueDatatype="20" unbalanced="0"/>
    <cacheHierarchy uniqueName="[Range 1].[Discount]" caption="Discount" attribute="1" defaultMemberUniqueName="[Range 1].[Discount].[All]" allUniqueName="[Range 1].[Discount].[All]" dimensionUniqueName="[Range 1]" displayFolder="" count="2" memberValueDatatype="5" unbalanced="0"/>
    <cacheHierarchy uniqueName="[Range 1].[Review]" caption="Review" attribute="1" defaultMemberUniqueName="[Range 1].[Review].[All]" allUniqueName="[Range 1].[Review].[All]" dimensionUniqueName="[Range 1]" displayFolder="" count="2" memberValueDatatype="20" unbalanced="0"/>
    <cacheHierarchy uniqueName="[Range 1].[Ratings]" caption="Ratings" attribute="1" defaultMemberUniqueName="[Range 1].[Ratings].[All]" allUniqueName="[Range 1].[Ratings].[All]" dimensionUniqueName="[Range 1]" displayFolder="" count="2" memberValueDatatype="5" unbalanced="0"/>
    <cacheHierarchy uniqueName="[Range 1].[Absolute Discount]" caption="Absolute Discount" attribute="1" defaultMemberUniqueName="[Range 1].[Absolute Discount].[All]" allUniqueName="[Range 1].[Absolute Discount].[All]" dimensionUniqueName="[Range 1]" displayFolder="" count="2" memberValueDatatype="20" unbalanced="0"/>
    <cacheHierarchy uniqueName="[Range 1].[Rating Category]" caption="Rating Category" attribute="1" defaultMemberUniqueName="[Range 1].[Rating Category].[All]" allUniqueName="[Range 1].[Rating Category].[All]" dimensionUniqueName="[Range 1]" displayFolder="" count="2" memberValueDatatype="130" unbalanced="0"/>
    <cacheHierarchy uniqueName="[Range 1].[Procuct Category]" caption="Procuct Category" attribute="1" defaultMemberUniqueName="[Range 1].[Procuct Category].[All]" allUniqueName="[Range 1].[Procuct Category].[All]" dimensionUniqueName="[Range 1]" displayFolder="" count="2" memberValueDatatype="13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Ratings]" caption="Sum of Ratings" measure="1" displayFolder="" measureGroup="Range" count="0" hidden="1">
      <extLst>
        <ext xmlns:x15="http://schemas.microsoft.com/office/spreadsheetml/2010/11/main" uri="{B97F6D7D-B522-45F9-BDA1-12C45D357490}">
          <x15:cacheHierarchy aggregatedColumn="5"/>
        </ext>
      </extLst>
    </cacheHierarchy>
    <cacheHierarchy uniqueName="[Measures].[Average of Ratings]" caption="Average of Ratings" measure="1" displayFolder="" measureGroup="Range" count="0" hidden="1">
      <extLst>
        <ext xmlns:x15="http://schemas.microsoft.com/office/spreadsheetml/2010/11/main" uri="{B97F6D7D-B522-45F9-BDA1-12C45D357490}">
          <x15:cacheHierarchy aggregatedColumn="5"/>
        </ext>
      </extLst>
    </cacheHierarchy>
    <cacheHierarchy uniqueName="[Measures].[Sum of Ratings 2]" caption="Sum of Ratings 2" measure="1" displayFolder="" measureGroup="Range 1" count="0" hidden="1">
      <extLst>
        <ext xmlns:x15="http://schemas.microsoft.com/office/spreadsheetml/2010/11/main" uri="{B97F6D7D-B522-45F9-BDA1-12C45D357490}">
          <x15:cacheHierarchy aggregatedColumn="14"/>
        </ext>
      </extLst>
    </cacheHierarchy>
    <cacheHierarchy uniqueName="[Measures].[Average of Ratings 2]" caption="Average of Ratings 2" measure="1" displayFolder="" measureGroup="Range 1" count="0" hidden="1">
      <extLst>
        <ext xmlns:x15="http://schemas.microsoft.com/office/spreadsheetml/2010/11/main" uri="{B97F6D7D-B522-45F9-BDA1-12C45D357490}">
          <x15:cacheHierarchy aggregatedColumn="14"/>
        </ext>
      </extLst>
    </cacheHierarchy>
    <cacheHierarchy uniqueName="[Measures].[Sum of Discount]" caption="Sum of Discount" measure="1" displayFolder="" measureGroup="Range" count="0" hidden="1">
      <extLst>
        <ext xmlns:x15="http://schemas.microsoft.com/office/spreadsheetml/2010/11/main" uri="{B97F6D7D-B522-45F9-BDA1-12C45D357490}">
          <x15:cacheHierarchy aggregatedColumn="3"/>
        </ext>
      </extLst>
    </cacheHierarchy>
    <cacheHierarchy uniqueName="[Measures].[Average of Discount]" caption="Average of Discount" measure="1" displayFolder="" measureGroup="Range" count="0" hidden="1">
      <extLst>
        <ext xmlns:x15="http://schemas.microsoft.com/office/spreadsheetml/2010/11/main" uri="{B97F6D7D-B522-45F9-BDA1-12C45D357490}">
          <x15:cacheHierarchy aggregatedColumn="3"/>
        </ext>
      </extLst>
    </cacheHierarchy>
    <cacheHierarchy uniqueName="[Measures].[Count of Discount]" caption="Count of Discount" measure="1" displayFolder="" measureGroup="Range" count="0" hidden="1">
      <extLst>
        <ext xmlns:x15="http://schemas.microsoft.com/office/spreadsheetml/2010/11/main" uri="{B97F6D7D-B522-45F9-BDA1-12C45D357490}">
          <x15:cacheHierarchy aggregatedColumn="3"/>
        </ext>
      </extLst>
    </cacheHierarchy>
    <cacheHierarchy uniqueName="[Measures].[Max of Discount]" caption="Max of Discount" measure="1" displayFolder="" measureGroup="Range" count="0" hidden="1">
      <extLst>
        <ext xmlns:x15="http://schemas.microsoft.com/office/spreadsheetml/2010/11/main" uri="{B97F6D7D-B522-45F9-BDA1-12C45D357490}">
          <x15:cacheHierarchy aggregatedColumn="3"/>
        </ext>
      </extLst>
    </cacheHierarchy>
    <cacheHierarchy uniqueName="[Measures].[Sum of Review]" caption="Sum of Review" measure="1" displayFolder="" measureGroup="Range" count="0" hidden="1">
      <extLst>
        <ext xmlns:x15="http://schemas.microsoft.com/office/spreadsheetml/2010/11/main" uri="{B97F6D7D-B522-45F9-BDA1-12C45D357490}">
          <x15:cacheHierarchy aggregatedColumn="4"/>
        </ext>
      </extLst>
    </cacheHierarchy>
    <cacheHierarchy uniqueName="[Measures].[Max of Review]" caption="Max of Review" measure="1" displayFolder="" measureGroup="Range" count="0" hidden="1">
      <extLst>
        <ext xmlns:x15="http://schemas.microsoft.com/office/spreadsheetml/2010/11/main" uri="{B97F6D7D-B522-45F9-BDA1-12C45D357490}">
          <x15:cacheHierarchy aggregatedColumn="4"/>
        </ext>
      </extLst>
    </cacheHierarchy>
    <cacheHierarchy uniqueName="[Measures].[Count of Ratings]" caption="Count of Ratings" measure="1" displayFolder="" measureGroup="Range" count="0" oneField="1" hidden="1">
      <fieldsUsage count="1">
        <fieldUsage x="3"/>
      </fieldsUsage>
      <extLst>
        <ext xmlns:x15="http://schemas.microsoft.com/office/spreadsheetml/2010/11/main" uri="{B97F6D7D-B522-45F9-BDA1-12C45D357490}">
          <x15:cacheHierarchy aggregatedColumn="5"/>
        </ext>
      </extLst>
    </cacheHierarchy>
    <cacheHierarchy uniqueName="[Measures].[Max of Ratings]" caption="Max of Ratings" measure="1" displayFolder="" measureGroup="Range" count="0" hidden="1">
      <extLst>
        <ext xmlns:x15="http://schemas.microsoft.com/office/spreadsheetml/2010/11/main" uri="{B97F6D7D-B522-45F9-BDA1-12C45D357490}">
          <x15:cacheHierarchy aggregatedColumn="5"/>
        </ext>
      </extLst>
    </cacheHierarchy>
    <cacheHierarchy uniqueName="[Measures].[Count of Rating Category]" caption="Count of Rating Category" measure="1" displayFolder="" measureGroup="Range" count="0" hidden="1">
      <extLst>
        <ext xmlns:x15="http://schemas.microsoft.com/office/spreadsheetml/2010/11/main" uri="{B97F6D7D-B522-45F9-BDA1-12C45D357490}">
          <x15:cacheHierarchy aggregatedColumn="7"/>
        </ext>
      </extLst>
    </cacheHierarchy>
    <cacheHierarchy uniqueName="[Measures].[Count of Procuct Category]" caption="Count of Procuct Category" measure="1" displayFolder="" measureGroup="Range" count="0" hidden="1">
      <extLst>
        <ext xmlns:x15="http://schemas.microsoft.com/office/spreadsheetml/2010/11/main" uri="{B97F6D7D-B522-45F9-BDA1-12C45D357490}">
          <x15:cacheHierarchy aggregatedColumn="8"/>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85.620044328702" backgroundQuery="1" createdVersion="3" refreshedVersion="8" minRefreshableVersion="3" recordCount="0" supportSubquery="1" supportAdvancedDrill="1" xr:uid="{160A5BCE-DC65-4734-BD0F-4FA61C28C99D}">
  <cacheSource type="external" connectionId="1">
    <extLst>
      <ext xmlns:x14="http://schemas.microsoft.com/office/spreadsheetml/2009/9/main" uri="{F057638F-6D5F-4e77-A914-E7F072B9BCA8}">
        <x14:sourceConnection name="ThisWorkbookDataModel"/>
      </ext>
    </extLst>
  </cacheSource>
  <cacheFields count="0"/>
  <cacheHierarchies count="35">
    <cacheHierarchy uniqueName="[Range].[Product]" caption="Product" attribute="1" defaultMemberUniqueName="[Range].[Product].[All]" allUniqueName="[Range].[Product].[All]" dimensionUniqueName="[Range]" displayFolder="" count="2" memberValueDatatype="130" unbalanced="0"/>
    <cacheHierarchy uniqueName="[Range].[Current price]" caption="Current price" attribute="1" defaultMemberUniqueName="[Range].[Current price].[All]" allUniqueName="[Range].[Current price].[All]" dimensionUniqueName="[Range]" displayFolder="" count="0" memberValueDatatype="20" unbalanced="0"/>
    <cacheHierarchy uniqueName="[Range].[Old price]" caption="Old price" attribute="1" defaultMemberUniqueName="[Range].[Old price].[All]" allUniqueName="[Range].[Old price].[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Review]" caption="Review" attribute="1" defaultMemberUniqueName="[Range].[Review].[All]" allUniqueName="[Range].[Review].[All]" dimensionUniqueName="[Range]" displayFolder="" count="0" memberValueDatatype="20" unbalanced="0"/>
    <cacheHierarchy uniqueName="[Range].[Ratings]" caption="Ratings" attribute="1" defaultMemberUniqueName="[Range].[Ratings].[All]" allUniqueName="[Range].[Ratings].[All]" dimensionUniqueName="[Range]" displayFolder="" count="2" memberValueDatatype="5" unbalanced="0"/>
    <cacheHierarchy uniqueName="[Range].[Absolute Discount]" caption="Absolute Discount" attribute="1" defaultMemberUniqueName="[Range].[Absolute Discount].[All]" allUniqueName="[Range].[Absolute Discount].[All]" dimensionUniqueName="[Range]" displayFolder="" count="0" memberValueDatatype="20" unbalanced="0"/>
    <cacheHierarchy uniqueName="[Range].[Rating Category]" caption="Rating Category" attribute="1" defaultMemberUniqueName="[Range].[Rating Category].[All]" allUniqueName="[Range].[Rating Category].[All]" dimensionUniqueName="[Range]" displayFolder="" count="2" memberValueDatatype="130" unbalanced="0"/>
    <cacheHierarchy uniqueName="[Range].[Procuct Category]" caption="Procuct Category" attribute="1" defaultMemberUniqueName="[Range].[Procuct Category].[All]" allUniqueName="[Range].[Procuct Category].[All]" dimensionUniqueName="[Range]" displayFolder="" count="0" memberValueDatatype="130" unbalanced="0"/>
    <cacheHierarchy uniqueName="[Range 1].[Product]" caption="Product" attribute="1" defaultMemberUniqueName="[Range 1].[Product].[All]" allUniqueName="[Range 1].[Product].[All]" dimensionUniqueName="[Range 1]" displayFolder="" count="0" memberValueDatatype="130" unbalanced="0"/>
    <cacheHierarchy uniqueName="[Range 1].[Current price]" caption="Current price" attribute="1" defaultMemberUniqueName="[Range 1].[Current price].[All]" allUniqueName="[Range 1].[Current price].[All]" dimensionUniqueName="[Range 1]" displayFolder="" count="0" memberValueDatatype="130" unbalanced="0"/>
    <cacheHierarchy uniqueName="[Range 1].[Old price]" caption="Old price" attribute="1" defaultMemberUniqueName="[Range 1].[Old price].[All]" allUniqueName="[Range 1].[Old price].[All]" dimensionUniqueName="[Range 1]" displayFolder="" count="0" memberValueDatatype="20" unbalanced="0"/>
    <cacheHierarchy uniqueName="[Range 1].[Discount]" caption="Discount" attribute="1" defaultMemberUniqueName="[Range 1].[Discount].[All]" allUniqueName="[Range 1].[Discount].[All]" dimensionUniqueName="[Range 1]" displayFolder="" count="0" memberValueDatatype="5" unbalanced="0"/>
    <cacheHierarchy uniqueName="[Range 1].[Review]" caption="Review" attribute="1" defaultMemberUniqueName="[Range 1].[Review].[All]" allUniqueName="[Range 1].[Review].[All]" dimensionUniqueName="[Range 1]" displayFolder="" count="0" memberValueDatatype="20" unbalanced="0"/>
    <cacheHierarchy uniqueName="[Range 1].[Ratings]" caption="Ratings" attribute="1" defaultMemberUniqueName="[Range 1].[Ratings].[All]" allUniqueName="[Range 1].[Ratings].[All]" dimensionUniqueName="[Range 1]" displayFolder="" count="0" memberValueDatatype="5" unbalanced="0"/>
    <cacheHierarchy uniqueName="[Range 1].[Absolute Discount]" caption="Absolute Discount" attribute="1" defaultMemberUniqueName="[Range 1].[Absolute Discount].[All]" allUniqueName="[Range 1].[Absolute Discount].[All]" dimensionUniqueName="[Range 1]" displayFolder="" count="0" memberValueDatatype="20" unbalanced="0"/>
    <cacheHierarchy uniqueName="[Range 1].[Rating Category]" caption="Rating Category" attribute="1" defaultMemberUniqueName="[Range 1].[Rating Category].[All]" allUniqueName="[Range 1].[Rating Category].[All]" dimensionUniqueName="[Range 1]" displayFolder="" count="0" memberValueDatatype="130" unbalanced="0"/>
    <cacheHierarchy uniqueName="[Range 1].[Procuct Category]" caption="Procuct Category" attribute="1" defaultMemberUniqueName="[Range 1].[Procuct Category].[All]" allUniqueName="[Range 1].[Procuct Category].[All]" dimensionUniqueName="[Range 1]" displayFolder="" count="0" memberValueDatatype="13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Ratings]" caption="Sum of Ratings" measure="1" displayFolder="" measureGroup="Range" count="0" hidden="1">
      <extLst>
        <ext xmlns:x15="http://schemas.microsoft.com/office/spreadsheetml/2010/11/main" uri="{B97F6D7D-B522-45F9-BDA1-12C45D357490}">
          <x15:cacheHierarchy aggregatedColumn="5"/>
        </ext>
      </extLst>
    </cacheHierarchy>
    <cacheHierarchy uniqueName="[Measures].[Average of Ratings]" caption="Average of Ratings" measure="1" displayFolder="" measureGroup="Range" count="0" hidden="1">
      <extLst>
        <ext xmlns:x15="http://schemas.microsoft.com/office/spreadsheetml/2010/11/main" uri="{B97F6D7D-B522-45F9-BDA1-12C45D357490}">
          <x15:cacheHierarchy aggregatedColumn="5"/>
        </ext>
      </extLst>
    </cacheHierarchy>
    <cacheHierarchy uniqueName="[Measures].[Sum of Ratings 2]" caption="Sum of Ratings 2" measure="1" displayFolder="" measureGroup="Range 1" count="0" hidden="1">
      <extLst>
        <ext xmlns:x15="http://schemas.microsoft.com/office/spreadsheetml/2010/11/main" uri="{B97F6D7D-B522-45F9-BDA1-12C45D357490}">
          <x15:cacheHierarchy aggregatedColumn="14"/>
        </ext>
      </extLst>
    </cacheHierarchy>
    <cacheHierarchy uniqueName="[Measures].[Average of Ratings 2]" caption="Average of Ratings 2" measure="1" displayFolder="" measureGroup="Range 1" count="0" hidden="1">
      <extLst>
        <ext xmlns:x15="http://schemas.microsoft.com/office/spreadsheetml/2010/11/main" uri="{B97F6D7D-B522-45F9-BDA1-12C45D357490}">
          <x15:cacheHierarchy aggregatedColumn="14"/>
        </ext>
      </extLst>
    </cacheHierarchy>
    <cacheHierarchy uniqueName="[Measures].[Sum of Discount]" caption="Sum of Discount" measure="1" displayFolder="" measureGroup="Range" count="0" hidden="1">
      <extLst>
        <ext xmlns:x15="http://schemas.microsoft.com/office/spreadsheetml/2010/11/main" uri="{B97F6D7D-B522-45F9-BDA1-12C45D357490}">
          <x15:cacheHierarchy aggregatedColumn="3"/>
        </ext>
      </extLst>
    </cacheHierarchy>
    <cacheHierarchy uniqueName="[Measures].[Average of Discount]" caption="Average of Discount" measure="1" displayFolder="" measureGroup="Range" count="0" hidden="1">
      <extLst>
        <ext xmlns:x15="http://schemas.microsoft.com/office/spreadsheetml/2010/11/main" uri="{B97F6D7D-B522-45F9-BDA1-12C45D357490}">
          <x15:cacheHierarchy aggregatedColumn="3"/>
        </ext>
      </extLst>
    </cacheHierarchy>
    <cacheHierarchy uniqueName="[Measures].[Count of Discount]" caption="Count of Discount" measure="1" displayFolder="" measureGroup="Range" count="0" hidden="1">
      <extLst>
        <ext xmlns:x15="http://schemas.microsoft.com/office/spreadsheetml/2010/11/main" uri="{B97F6D7D-B522-45F9-BDA1-12C45D357490}">
          <x15:cacheHierarchy aggregatedColumn="3"/>
        </ext>
      </extLst>
    </cacheHierarchy>
    <cacheHierarchy uniqueName="[Measures].[Max of Discount]" caption="Max of Discount" measure="1" displayFolder="" measureGroup="Range" count="0" hidden="1">
      <extLst>
        <ext xmlns:x15="http://schemas.microsoft.com/office/spreadsheetml/2010/11/main" uri="{B97F6D7D-B522-45F9-BDA1-12C45D357490}">
          <x15:cacheHierarchy aggregatedColumn="3"/>
        </ext>
      </extLst>
    </cacheHierarchy>
    <cacheHierarchy uniqueName="[Measures].[Sum of Review]" caption="Sum of Review" measure="1" displayFolder="" measureGroup="Range" count="0" hidden="1">
      <extLst>
        <ext xmlns:x15="http://schemas.microsoft.com/office/spreadsheetml/2010/11/main" uri="{B97F6D7D-B522-45F9-BDA1-12C45D357490}">
          <x15:cacheHierarchy aggregatedColumn="4"/>
        </ext>
      </extLst>
    </cacheHierarchy>
    <cacheHierarchy uniqueName="[Measures].[Max of Review]" caption="Max of Review" measure="1" displayFolder="" measureGroup="Range" count="0" hidden="1">
      <extLst>
        <ext xmlns:x15="http://schemas.microsoft.com/office/spreadsheetml/2010/11/main" uri="{B97F6D7D-B522-45F9-BDA1-12C45D357490}">
          <x15:cacheHierarchy aggregatedColumn="4"/>
        </ext>
      </extLst>
    </cacheHierarchy>
    <cacheHierarchy uniqueName="[Measures].[Count of Ratings]" caption="Count of Ratings" measure="1" displayFolder="" measureGroup="Range" count="0" hidden="1">
      <extLst>
        <ext xmlns:x15="http://schemas.microsoft.com/office/spreadsheetml/2010/11/main" uri="{B97F6D7D-B522-45F9-BDA1-12C45D357490}">
          <x15:cacheHierarchy aggregatedColumn="5"/>
        </ext>
      </extLst>
    </cacheHierarchy>
    <cacheHierarchy uniqueName="[Measures].[Max of Ratings]" caption="Max of Ratings" measure="1" displayFolder="" measureGroup="Range" count="0" hidden="1">
      <extLst>
        <ext xmlns:x15="http://schemas.microsoft.com/office/spreadsheetml/2010/11/main" uri="{B97F6D7D-B522-45F9-BDA1-12C45D357490}">
          <x15:cacheHierarchy aggregatedColumn="5"/>
        </ext>
      </extLst>
    </cacheHierarchy>
    <cacheHierarchy uniqueName="[Measures].[Count of Rating Category]" caption="Count of Rating Category" measure="1" displayFolder="" measureGroup="Range" count="0" hidden="1">
      <extLst>
        <ext xmlns:x15="http://schemas.microsoft.com/office/spreadsheetml/2010/11/main" uri="{B97F6D7D-B522-45F9-BDA1-12C45D357490}">
          <x15:cacheHierarchy aggregatedColumn="7"/>
        </ext>
      </extLst>
    </cacheHierarchy>
    <cacheHierarchy uniqueName="[Measures].[Count of Procuct Category]" caption="Count of Procuct Category" measure="1" displayFolder="" measureGroup="Range" count="0" hidden="1">
      <extLst>
        <ext xmlns:x15="http://schemas.microsoft.com/office/spreadsheetml/2010/11/main" uri="{B97F6D7D-B522-45F9-BDA1-12C45D357490}">
          <x15:cacheHierarchy aggregatedColumn="8"/>
        </ext>
      </extLst>
    </cacheHierarchy>
  </cacheHierarchies>
  <kpis count="0"/>
  <extLst>
    <ext xmlns:x14="http://schemas.microsoft.com/office/spreadsheetml/2009/9/main" uri="{725AE2AE-9491-48be-B2B4-4EB974FC3084}">
      <x14:pivotCacheDefinition slicerData="1" pivotCacheId="7621298"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2">
  <r>
    <x v="0"/>
    <n v="950"/>
    <n v="1525"/>
    <x v="0"/>
    <n v="2"/>
    <x v="0"/>
    <n v="575"/>
    <x v="0"/>
    <s v="Medium Discount"/>
  </r>
  <r>
    <x v="1"/>
    <n v="527"/>
    <n v="999"/>
    <x v="1"/>
    <n v="14"/>
    <x v="1"/>
    <n v="472"/>
    <x v="1"/>
    <s v="High Discount"/>
  </r>
  <r>
    <x v="2"/>
    <n v="2199"/>
    <n v="2923"/>
    <x v="2"/>
    <n v="24"/>
    <x v="2"/>
    <n v="724"/>
    <x v="0"/>
    <s v="Medium Discount"/>
  </r>
  <r>
    <x v="3"/>
    <n v="1580"/>
    <n v="2499"/>
    <x v="3"/>
    <n v="7"/>
    <x v="3"/>
    <n v="919"/>
    <x v="0"/>
    <s v="Medium Discount"/>
  </r>
  <r>
    <x v="4"/>
    <n v="1740"/>
    <n v="2356"/>
    <x v="4"/>
    <n v="5"/>
    <x v="4"/>
    <n v="616"/>
    <x v="0"/>
    <s v="Medium Discount"/>
  </r>
  <r>
    <x v="5"/>
    <n v="2999"/>
    <n v="3290"/>
    <x v="5"/>
    <n v="15"/>
    <x v="5"/>
    <n v="291"/>
    <x v="1"/>
    <s v="Low Discount"/>
  </r>
  <r>
    <x v="6"/>
    <n v="2319"/>
    <n v="3032"/>
    <x v="6"/>
    <n v="55"/>
    <x v="2"/>
    <n v="713"/>
    <x v="0"/>
    <s v="Medium Discount"/>
  </r>
  <r>
    <x v="7"/>
    <n v="988"/>
    <n v="1580"/>
    <x v="3"/>
    <n v="2"/>
    <x v="5"/>
    <n v="592"/>
    <x v="1"/>
    <s v="Medium Discount"/>
  </r>
  <r>
    <x v="8"/>
    <n v="1274"/>
    <n v="2800"/>
    <x v="7"/>
    <n v="5"/>
    <x v="4"/>
    <n v="1526"/>
    <x v="0"/>
    <s v="High Discount"/>
  </r>
  <r>
    <x v="9"/>
    <n v="1600"/>
    <n v="2929"/>
    <x v="8"/>
    <n v="5"/>
    <x v="6"/>
    <n v="1329"/>
    <x v="1"/>
    <s v="High Discount"/>
  </r>
  <r>
    <x v="10"/>
    <n v="799"/>
    <n v="999"/>
    <x v="9"/>
    <n v="12"/>
    <x v="1"/>
    <n v="200"/>
    <x v="1"/>
    <s v="Medium Discount"/>
  </r>
  <r>
    <x v="11"/>
    <n v="990"/>
    <n v="1500"/>
    <x v="10"/>
    <n v="39"/>
    <x v="3"/>
    <n v="510"/>
    <x v="0"/>
    <s v="Medium Discount"/>
  </r>
  <r>
    <x v="12"/>
    <n v="552"/>
    <n v="1035"/>
    <x v="1"/>
    <n v="12"/>
    <x v="4"/>
    <n v="483"/>
    <x v="0"/>
    <s v="High Discount"/>
  </r>
  <r>
    <x v="13"/>
    <n v="501"/>
    <n v="860"/>
    <x v="11"/>
    <n v="6"/>
    <x v="0"/>
    <n v="359"/>
    <x v="0"/>
    <s v="High Discount"/>
  </r>
  <r>
    <x v="14"/>
    <n v="1680"/>
    <n v="2499"/>
    <x v="12"/>
    <n v="9"/>
    <x v="7"/>
    <n v="819"/>
    <x v="1"/>
    <s v="Medium Discount"/>
  </r>
  <r>
    <x v="15"/>
    <n v="332"/>
    <n v="684"/>
    <x v="13"/>
    <n v="2"/>
    <x v="8"/>
    <n v="352"/>
    <x v="0"/>
    <s v="High Discount"/>
  </r>
  <r>
    <x v="16"/>
    <n v="195"/>
    <n v="360"/>
    <x v="14"/>
    <n v="2"/>
    <x v="8"/>
    <n v="165"/>
    <x v="0"/>
    <s v="High Discount"/>
  </r>
  <r>
    <x v="17"/>
    <n v="2025"/>
    <n v="3971"/>
    <x v="15"/>
    <n v="3"/>
    <x v="8"/>
    <n v="1946"/>
    <x v="0"/>
    <s v="High Discount"/>
  </r>
  <r>
    <x v="18"/>
    <n v="2999"/>
    <n v="3699"/>
    <x v="16"/>
    <n v="5"/>
    <x v="2"/>
    <n v="700"/>
    <x v="0"/>
    <s v="Low Discount"/>
  </r>
  <r>
    <x v="19"/>
    <n v="998"/>
    <n v="1966"/>
    <x v="15"/>
    <n v="44"/>
    <x v="2"/>
    <n v="968"/>
    <x v="0"/>
    <s v="High Discount"/>
  </r>
  <r>
    <x v="20"/>
    <n v="38"/>
    <n v="80"/>
    <x v="17"/>
    <n v="13"/>
    <x v="9"/>
    <n v="42"/>
    <x v="1"/>
    <s v="High Discount"/>
  </r>
  <r>
    <x v="21"/>
    <n v="1860"/>
    <n v="3220"/>
    <x v="11"/>
    <m/>
    <x v="10"/>
    <n v="1360"/>
    <x v="2"/>
    <s v="High Discount"/>
  </r>
  <r>
    <x v="22"/>
    <n v="880"/>
    <n v="1350"/>
    <x v="18"/>
    <n v="6"/>
    <x v="5"/>
    <n v="470"/>
    <x v="1"/>
    <s v="Medium Discount"/>
  </r>
  <r>
    <x v="23"/>
    <n v="1650"/>
    <n v="2150"/>
    <x v="19"/>
    <n v="14"/>
    <x v="11"/>
    <n v="500"/>
    <x v="1"/>
    <s v="Medium Discount"/>
  </r>
  <r>
    <x v="24"/>
    <n v="2048"/>
    <n v="4500"/>
    <x v="20"/>
    <n v="7"/>
    <x v="12"/>
    <n v="2452"/>
    <x v="1"/>
    <s v="High Discount"/>
  </r>
  <r>
    <x v="25"/>
    <n v="420"/>
    <n v="647"/>
    <x v="18"/>
    <n v="49"/>
    <x v="2"/>
    <n v="227"/>
    <x v="0"/>
    <s v="Medium Discount"/>
  </r>
  <r>
    <x v="26"/>
    <n v="2880"/>
    <n v="3520"/>
    <x v="21"/>
    <n v="12"/>
    <x v="6"/>
    <n v="640"/>
    <x v="1"/>
    <s v="Low Discount"/>
  </r>
  <r>
    <x v="27"/>
    <n v="1350"/>
    <n v="1990"/>
    <x v="22"/>
    <n v="13"/>
    <x v="6"/>
    <n v="640"/>
    <x v="1"/>
    <s v="Medium Discount"/>
  </r>
  <r>
    <x v="28"/>
    <n v="1758"/>
    <n v="2499"/>
    <x v="23"/>
    <n v="20"/>
    <x v="1"/>
    <n v="741"/>
    <x v="1"/>
    <s v="Medium Discount"/>
  </r>
  <r>
    <x v="29"/>
    <n v="2200"/>
    <n v="4080"/>
    <x v="14"/>
    <m/>
    <x v="10"/>
    <n v="1880"/>
    <x v="2"/>
    <s v="High Discount"/>
  </r>
  <r>
    <x v="30"/>
    <n v="185"/>
    <n v="382"/>
    <x v="24"/>
    <n v="9"/>
    <x v="12"/>
    <n v="197"/>
    <x v="1"/>
    <s v="High Discount"/>
  </r>
  <r>
    <x v="31"/>
    <n v="980"/>
    <n v="1490"/>
    <x v="10"/>
    <n v="12"/>
    <x v="3"/>
    <n v="510"/>
    <x v="0"/>
    <s v="Medium Discount"/>
  </r>
  <r>
    <x v="32"/>
    <n v="1820"/>
    <n v="3490"/>
    <x v="25"/>
    <n v="9"/>
    <x v="12"/>
    <n v="1670"/>
    <x v="1"/>
    <s v="High Discount"/>
  </r>
  <r>
    <x v="33"/>
    <n v="1940"/>
    <n v="2650"/>
    <x v="26"/>
    <n v="20"/>
    <x v="3"/>
    <n v="710"/>
    <x v="0"/>
    <s v="Medium Discount"/>
  </r>
  <r>
    <x v="34"/>
    <n v="1980"/>
    <n v="2699"/>
    <x v="26"/>
    <n v="32"/>
    <x v="0"/>
    <n v="719"/>
    <x v="0"/>
    <s v="Medium Discount"/>
  </r>
  <r>
    <x v="35"/>
    <n v="1620"/>
    <n v="2690"/>
    <x v="27"/>
    <n v="1"/>
    <x v="8"/>
    <n v="1070"/>
    <x v="0"/>
    <s v="Medium Discount"/>
  </r>
  <r>
    <x v="36"/>
    <n v="171"/>
    <n v="360"/>
    <x v="17"/>
    <n v="2"/>
    <x v="8"/>
    <n v="189"/>
    <x v="0"/>
    <s v="High Discount"/>
  </r>
  <r>
    <x v="37"/>
    <n v="389"/>
    <n v="656"/>
    <x v="28"/>
    <n v="36"/>
    <x v="12"/>
    <n v="267"/>
    <x v="1"/>
    <s v="High Discount"/>
  </r>
  <r>
    <x v="38"/>
    <n v="1980"/>
    <n v="3200"/>
    <x v="0"/>
    <n v="2"/>
    <x v="0"/>
    <n v="1220"/>
    <x v="0"/>
    <s v="Medium Discount"/>
  </r>
  <r>
    <x v="39"/>
    <n v="2750"/>
    <n v="4471"/>
    <x v="0"/>
    <m/>
    <x v="10"/>
    <n v="1721"/>
    <x v="2"/>
    <s v="Medium Discount"/>
  </r>
  <r>
    <x v="40"/>
    <n v="475"/>
    <n v="931"/>
    <x v="15"/>
    <m/>
    <x v="10"/>
    <n v="456"/>
    <x v="2"/>
    <s v="High Discount"/>
  </r>
  <r>
    <x v="41"/>
    <n v="238"/>
    <n v="476"/>
    <x v="29"/>
    <m/>
    <x v="10"/>
    <n v="238"/>
    <x v="2"/>
    <s v="High Discount"/>
  </r>
  <r>
    <x v="42"/>
    <n v="610"/>
    <n v="1060"/>
    <x v="11"/>
    <m/>
    <x v="10"/>
    <n v="450"/>
    <x v="2"/>
    <s v="High Discount"/>
  </r>
  <r>
    <x v="43"/>
    <n v="2132"/>
    <n v="2169"/>
    <x v="30"/>
    <m/>
    <x v="10"/>
    <n v="37"/>
    <x v="2"/>
    <s v="Low Discount"/>
  </r>
  <r>
    <x v="44"/>
    <n v="999"/>
    <n v="2000"/>
    <x v="29"/>
    <m/>
    <x v="10"/>
    <n v="1001"/>
    <x v="2"/>
    <s v="High Discount"/>
  </r>
  <r>
    <x v="45"/>
    <n v="1190"/>
    <n v="1785"/>
    <x v="12"/>
    <m/>
    <x v="10"/>
    <n v="595"/>
    <x v="2"/>
    <s v="Medium Discount"/>
  </r>
  <r>
    <x v="46"/>
    <n v="671"/>
    <n v="1316"/>
    <x v="15"/>
    <m/>
    <x v="10"/>
    <n v="645"/>
    <x v="2"/>
    <s v="High Discount"/>
  </r>
  <r>
    <x v="47"/>
    <n v="1200"/>
    <n v="1950"/>
    <x v="0"/>
    <m/>
    <x v="10"/>
    <n v="750"/>
    <x v="2"/>
    <s v="Medium Discount"/>
  </r>
  <r>
    <x v="48"/>
    <n v="199"/>
    <n v="504"/>
    <x v="31"/>
    <m/>
    <x v="10"/>
    <n v="305"/>
    <x v="2"/>
    <s v="High Discount"/>
  </r>
  <r>
    <x v="49"/>
    <n v="299"/>
    <n v="600"/>
    <x v="29"/>
    <m/>
    <x v="10"/>
    <n v="301"/>
    <x v="2"/>
    <s v="High Discount"/>
  </r>
  <r>
    <x v="50"/>
    <n v="1660"/>
    <n v="1699"/>
    <x v="30"/>
    <m/>
    <x v="10"/>
    <n v="39"/>
    <x v="2"/>
    <s v="Low Discount"/>
  </r>
  <r>
    <x v="51"/>
    <n v="299"/>
    <n v="384"/>
    <x v="32"/>
    <m/>
    <x v="10"/>
    <n v="85"/>
    <x v="2"/>
    <s v="Medium Discount"/>
  </r>
  <r>
    <x v="52"/>
    <n v="1459"/>
    <n v="1499"/>
    <x v="33"/>
    <m/>
    <x v="10"/>
    <n v="40"/>
    <x v="2"/>
    <s v="Low Discount"/>
  </r>
  <r>
    <x v="53"/>
    <n v="799"/>
    <n v="1343"/>
    <x v="28"/>
    <m/>
    <x v="10"/>
    <n v="544"/>
    <x v="2"/>
    <s v="High Discount"/>
  </r>
  <r>
    <x v="54"/>
    <n v="499"/>
    <n v="900"/>
    <x v="8"/>
    <m/>
    <x v="10"/>
    <n v="401"/>
    <x v="2"/>
    <s v="High Discount"/>
  </r>
  <r>
    <x v="55"/>
    <n v="699"/>
    <n v="1343"/>
    <x v="25"/>
    <m/>
    <x v="10"/>
    <n v="644"/>
    <x v="2"/>
    <s v="High Discount"/>
  </r>
  <r>
    <x v="56"/>
    <n v="799"/>
    <n v="1567"/>
    <x v="15"/>
    <m/>
    <x v="10"/>
    <n v="768"/>
    <x v="2"/>
    <s v="High Discount"/>
  </r>
  <r>
    <x v="57"/>
    <n v="2799"/>
    <n v="3810"/>
    <x v="26"/>
    <m/>
    <x v="10"/>
    <n v="1011"/>
    <x v="2"/>
    <s v="Medium Discount"/>
  </r>
  <r>
    <x v="54"/>
    <n v="399"/>
    <n v="896"/>
    <x v="7"/>
    <m/>
    <x v="10"/>
    <n v="497"/>
    <x v="2"/>
    <s v="High Discount"/>
  </r>
  <r>
    <x v="58"/>
    <n v="2170"/>
    <n v="2500"/>
    <x v="34"/>
    <n v="6"/>
    <x v="13"/>
    <n v="330"/>
    <x v="2"/>
    <s v="Low Discount"/>
  </r>
  <r>
    <x v="59"/>
    <n v="458"/>
    <n v="986"/>
    <x v="20"/>
    <n v="10"/>
    <x v="14"/>
    <n v="528"/>
    <x v="1"/>
    <s v="High Discount"/>
  </r>
  <r>
    <x v="60"/>
    <n v="2115"/>
    <n v="4700"/>
    <x v="7"/>
    <n v="13"/>
    <x v="15"/>
    <n v="2585"/>
    <x v="2"/>
    <s v="High Discount"/>
  </r>
  <r>
    <x v="61"/>
    <n v="445"/>
    <n v="873"/>
    <x v="15"/>
    <n v="69"/>
    <x v="16"/>
    <n v="428"/>
    <x v="2"/>
    <s v="High Discount"/>
  </r>
  <r>
    <x v="62"/>
    <n v="325"/>
    <n v="680"/>
    <x v="24"/>
    <n v="15"/>
    <x v="17"/>
    <n v="355"/>
    <x v="2"/>
    <s v="High Discount"/>
  </r>
  <r>
    <x v="63"/>
    <n v="1220"/>
    <n v="1555"/>
    <x v="32"/>
    <n v="16"/>
    <x v="18"/>
    <n v="335"/>
    <x v="2"/>
    <s v="Medium Discount"/>
  </r>
  <r>
    <x v="64"/>
    <n v="990"/>
    <n v="1814"/>
    <x v="8"/>
    <n v="6"/>
    <x v="19"/>
    <n v="824"/>
    <x v="2"/>
    <s v="High Discount"/>
  </r>
  <r>
    <x v="65"/>
    <n v="1000"/>
    <n v="2000"/>
    <x v="29"/>
    <n v="7"/>
    <x v="20"/>
    <n v="1000"/>
    <x v="2"/>
    <s v="High Discount"/>
  </r>
  <r>
    <x v="66"/>
    <n v="3750"/>
    <n v="6143"/>
    <x v="35"/>
    <n v="5"/>
    <x v="14"/>
    <n v="2393"/>
    <x v="1"/>
    <s v="Medium Discount"/>
  </r>
  <r>
    <x v="67"/>
    <n v="382"/>
    <n v="700"/>
    <x v="8"/>
    <n v="17"/>
    <x v="21"/>
    <n v="318"/>
    <x v="2"/>
    <s v="High Discount"/>
  </r>
  <r>
    <x v="68"/>
    <n v="2300"/>
    <n v="3240"/>
    <x v="36"/>
    <n v="5"/>
    <x v="14"/>
    <n v="940"/>
    <x v="1"/>
    <s v="Medium Discount"/>
  </r>
  <r>
    <x v="69"/>
    <n v="345"/>
    <n v="602"/>
    <x v="37"/>
    <n v="6"/>
    <x v="20"/>
    <n v="257"/>
    <x v="2"/>
    <s v="High Discount"/>
  </r>
  <r>
    <x v="70"/>
    <n v="509"/>
    <n v="899"/>
    <x v="37"/>
    <n v="5"/>
    <x v="14"/>
    <n v="390"/>
    <x v="1"/>
    <s v="High Discount"/>
  </r>
  <r>
    <x v="71"/>
    <n v="968"/>
    <n v="1814"/>
    <x v="1"/>
    <n v="6"/>
    <x v="19"/>
    <n v="846"/>
    <x v="2"/>
    <s v="High Discount"/>
  </r>
  <r>
    <x v="72"/>
    <n v="1570"/>
    <n v="2988"/>
    <x v="1"/>
    <n v="7"/>
    <x v="15"/>
    <n v="1418"/>
    <x v="2"/>
    <s v="High Discount"/>
  </r>
  <r>
    <x v="73"/>
    <n v="790"/>
    <n v="1485"/>
    <x v="1"/>
    <m/>
    <x v="10"/>
    <n v="695"/>
    <x v="2"/>
    <s v="High Discount"/>
  </r>
  <r>
    <x v="74"/>
    <n v="690"/>
    <n v="1200"/>
    <x v="37"/>
    <m/>
    <x v="10"/>
    <n v="510"/>
    <x v="2"/>
    <s v="High Discount"/>
  </r>
  <r>
    <x v="75"/>
    <n v="1732"/>
    <n v="1799"/>
    <x v="38"/>
    <m/>
    <x v="10"/>
    <n v="67"/>
    <x v="2"/>
    <s v="Low Discount"/>
  </r>
  <r>
    <x v="76"/>
    <n v="230"/>
    <n v="450"/>
    <x v="15"/>
    <m/>
    <x v="10"/>
    <n v="220"/>
    <x v="2"/>
    <s v="High Discount"/>
  </r>
  <r>
    <x v="77"/>
    <n v="1189"/>
    <n v="2199"/>
    <x v="14"/>
    <n v="1"/>
    <x v="14"/>
    <n v="1010"/>
    <x v="1"/>
    <s v="High Discount"/>
  </r>
  <r>
    <x v="78"/>
    <n v="979"/>
    <n v="1920"/>
    <x v="15"/>
    <n v="1"/>
    <x v="8"/>
    <n v="941"/>
    <x v="0"/>
    <s v="High Discount"/>
  </r>
  <r>
    <x v="79"/>
    <n v="1460"/>
    <n v="2290"/>
    <x v="39"/>
    <m/>
    <x v="10"/>
    <n v="830"/>
    <x v="2"/>
    <s v="Medium Discount"/>
  </r>
  <r>
    <x v="80"/>
    <n v="1666"/>
    <n v="1699"/>
    <x v="30"/>
    <m/>
    <x v="10"/>
    <n v="33"/>
    <x v="2"/>
    <s v="Low Discount"/>
  </r>
  <r>
    <x v="81"/>
    <n v="330"/>
    <n v="647"/>
    <x v="15"/>
    <n v="1"/>
    <x v="5"/>
    <n v="317"/>
    <x v="1"/>
    <s v="High Discount"/>
  </r>
  <r>
    <x v="48"/>
    <n v="176"/>
    <n v="345"/>
    <x v="15"/>
    <m/>
    <x v="10"/>
    <n v="169"/>
    <x v="2"/>
    <s v="High Discount"/>
  </r>
  <r>
    <x v="82"/>
    <n v="1466"/>
    <n v="1699"/>
    <x v="40"/>
    <m/>
    <x v="10"/>
    <n v="233"/>
    <x v="2"/>
    <s v="Low Discount"/>
  </r>
  <r>
    <x v="83"/>
    <n v="274"/>
    <n v="537"/>
    <x v="15"/>
    <m/>
    <x v="10"/>
    <n v="263"/>
    <x v="2"/>
    <s v="High Discount"/>
  </r>
  <r>
    <x v="84"/>
    <n v="799"/>
    <n v="900"/>
    <x v="41"/>
    <m/>
    <x v="10"/>
    <n v="101"/>
    <x v="2"/>
    <s v="Low Discount"/>
  </r>
  <r>
    <x v="56"/>
    <n v="657"/>
    <n v="1288"/>
    <x v="15"/>
    <m/>
    <x v="10"/>
    <n v="631"/>
    <x v="2"/>
    <s v="High Discount"/>
  </r>
  <r>
    <x v="85"/>
    <n v="1468"/>
    <n v="1699"/>
    <x v="40"/>
    <m/>
    <x v="10"/>
    <n v="231"/>
    <x v="2"/>
    <s v="Low Discount"/>
  </r>
  <r>
    <x v="86"/>
    <n v="630"/>
    <n v="1100"/>
    <x v="37"/>
    <m/>
    <x v="10"/>
    <n v="470"/>
    <x v="2"/>
    <s v="High Discount"/>
  </r>
  <r>
    <x v="87"/>
    <n v="850"/>
    <n v="1700"/>
    <x v="29"/>
    <m/>
    <x v="10"/>
    <n v="850"/>
    <x v="2"/>
    <s v="High Discount"/>
  </r>
  <r>
    <x v="88"/>
    <n v="1300"/>
    <n v="2500"/>
    <x v="25"/>
    <m/>
    <x v="10"/>
    <n v="1200"/>
    <x v="2"/>
    <s v="High Discount"/>
  </r>
  <r>
    <x v="89"/>
    <n v="105"/>
    <n v="200"/>
    <x v="25"/>
    <m/>
    <x v="10"/>
    <n v="95"/>
    <x v="2"/>
    <s v="High Discount"/>
  </r>
  <r>
    <x v="90"/>
    <n v="899"/>
    <n v="1699"/>
    <x v="1"/>
    <m/>
    <x v="10"/>
    <n v="800"/>
    <x v="2"/>
    <s v="High Discount"/>
  </r>
  <r>
    <x v="91"/>
    <n v="1200"/>
    <n v="2400"/>
    <x v="29"/>
    <m/>
    <x v="10"/>
    <n v="1200"/>
    <x v="2"/>
    <s v="High Discount"/>
  </r>
  <r>
    <x v="92"/>
    <n v="1526"/>
    <n v="1660"/>
    <x v="42"/>
    <m/>
    <x v="10"/>
    <n v="134"/>
    <x v="2"/>
    <s v="Low Discount"/>
  </r>
  <r>
    <x v="93"/>
    <n v="1462"/>
    <n v="1499"/>
    <x v="30"/>
    <m/>
    <x v="10"/>
    <n v="37"/>
    <x v="2"/>
    <s v="Low Discount"/>
  </r>
  <r>
    <x v="94"/>
    <n v="248"/>
    <n v="486"/>
    <x v="15"/>
    <m/>
    <x v="10"/>
    <n v="238"/>
    <x v="2"/>
    <s v="High Discount"/>
  </r>
  <r>
    <x v="95"/>
    <n v="3546"/>
    <n v="3699"/>
    <x v="38"/>
    <m/>
    <x v="10"/>
    <n v="153"/>
    <x v="2"/>
    <s v="Low Discount"/>
  </r>
  <r>
    <x v="96"/>
    <n v="525"/>
    <n v="1029"/>
    <x v="15"/>
    <m/>
    <x v="10"/>
    <n v="504"/>
    <x v="2"/>
    <s v="High Discount"/>
  </r>
  <r>
    <x v="97"/>
    <n v="1080"/>
    <n v="1874"/>
    <x v="11"/>
    <m/>
    <x v="10"/>
    <n v="794"/>
    <x v="2"/>
    <s v="High Discount"/>
  </r>
  <r>
    <x v="98"/>
    <n v="3640"/>
    <n v="4588"/>
    <x v="43"/>
    <n v="1"/>
    <x v="8"/>
    <n v="948"/>
    <x v="0"/>
    <s v="Medium Discount"/>
  </r>
  <r>
    <x v="99"/>
    <n v="1420"/>
    <n v="2420"/>
    <x v="28"/>
    <m/>
    <x v="10"/>
    <n v="1000"/>
    <x v="2"/>
    <s v="High Discount"/>
  </r>
  <r>
    <x v="100"/>
    <n v="1875"/>
    <n v="1899"/>
    <x v="44"/>
    <m/>
    <x v="10"/>
    <n v="24"/>
    <x v="2"/>
    <s v="Low Discount"/>
  </r>
  <r>
    <x v="101"/>
    <n v="198"/>
    <n v="260"/>
    <x v="6"/>
    <m/>
    <x v="10"/>
    <n v="62"/>
    <x v="2"/>
    <s v="Medium Discount"/>
  </r>
  <r>
    <x v="102"/>
    <n v="1150"/>
    <n v="1737"/>
    <x v="10"/>
    <m/>
    <x v="10"/>
    <n v="587"/>
    <x v="2"/>
    <s v="Medium Discount"/>
  </r>
  <r>
    <x v="103"/>
    <n v="1190"/>
    <n v="1810"/>
    <x v="10"/>
    <m/>
    <x v="10"/>
    <n v="620"/>
    <x v="2"/>
    <s v="Medium Discount"/>
  </r>
  <r>
    <x v="104"/>
    <n v="1658"/>
    <n v="1699"/>
    <x v="30"/>
    <m/>
    <x v="10"/>
    <n v="41"/>
    <x v="2"/>
    <s v="Low Discount"/>
  </r>
  <r>
    <x v="105"/>
    <n v="1768"/>
    <n v="1799"/>
    <x v="30"/>
    <m/>
    <x v="10"/>
    <n v="31"/>
    <x v="2"/>
    <s v="Low Discount"/>
  </r>
  <r>
    <x v="106"/>
    <n v="199"/>
    <n v="553"/>
    <x v="45"/>
    <m/>
    <x v="10"/>
    <n v="354"/>
    <x v="2"/>
    <s v="High Discount"/>
  </r>
  <r>
    <x v="107"/>
    <n v="450"/>
    <n v="900"/>
    <x v="29"/>
    <n v="1"/>
    <x v="22"/>
    <n v="450"/>
    <x v="3"/>
    <s v="High Discount"/>
  </r>
  <r>
    <x v="108"/>
    <n v="169"/>
    <n v="320"/>
    <x v="1"/>
    <m/>
    <x v="10"/>
    <n v="151"/>
    <x v="2"/>
    <s v="High Discoun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7F8C507-6F18-495A-8C07-73548D425B8F}"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6" firstHeaderRow="1" firstDataRow="1" firstDataCol="1"/>
  <pivotFields count="9">
    <pivotField showAll="0"/>
    <pivotField numFmtId="1" showAll="0"/>
    <pivotField numFmtId="1" showAll="0"/>
    <pivotField axis="axisRow" numFmtId="9" showAll="0">
      <items count="16">
        <item x="0"/>
        <item x="1"/>
        <item x="2"/>
        <item x="3"/>
        <item x="4"/>
        <item x="5"/>
        <item x="6"/>
        <item x="7"/>
        <item x="8"/>
        <item x="9"/>
        <item x="10"/>
        <item x="11"/>
        <item x="12"/>
        <item x="13"/>
        <item x="14"/>
        <item t="default"/>
      </items>
    </pivotField>
    <pivotField dataField="1" showAll="0"/>
    <pivotField showAll="0">
      <items count="8">
        <item x="0"/>
        <item x="1"/>
        <item x="2"/>
        <item x="3"/>
        <item x="4"/>
        <item x="5"/>
        <item x="6"/>
        <item t="default"/>
      </items>
    </pivotField>
    <pivotField numFmtId="1" showAll="0"/>
    <pivotField showAll="0"/>
    <pivotField showAll="0"/>
  </pivotFields>
  <rowFields count="1">
    <field x="3"/>
  </rowFields>
  <rowItems count="13">
    <i>
      <x v="1"/>
    </i>
    <i>
      <x v="2"/>
    </i>
    <i>
      <x v="3"/>
    </i>
    <i>
      <x v="4"/>
    </i>
    <i>
      <x v="5"/>
    </i>
    <i>
      <x v="6"/>
    </i>
    <i>
      <x v="7"/>
    </i>
    <i>
      <x v="8"/>
    </i>
    <i>
      <x v="9"/>
    </i>
    <i>
      <x v="10"/>
    </i>
    <i>
      <x v="11"/>
    </i>
    <i>
      <x v="13"/>
    </i>
    <i t="grand">
      <x/>
    </i>
  </rowItems>
  <colItems count="1">
    <i/>
  </colItems>
  <dataFields count="1">
    <dataField name="Count of Review" fld="4" subtotal="count" baseField="3" baseItem="0"/>
  </dataFields>
  <chartFormats count="1">
    <chartFormat chart="8"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4A9E87A-ECC1-476D-8D4F-2FF5991928AD}"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0" firstHeaderRow="1" firstDataRow="1" firstDataCol="1"/>
  <pivotFields count="9">
    <pivotField showAll="0"/>
    <pivotField numFmtId="1" showAll="0"/>
    <pivotField numFmtId="1" showAll="0"/>
    <pivotField numFmtId="9" showAll="0"/>
    <pivotField dataField="1" showAll="0"/>
    <pivotField axis="axisRow" showAll="0">
      <items count="8">
        <item x="0"/>
        <item x="1"/>
        <item x="2"/>
        <item x="3"/>
        <item x="4"/>
        <item x="5"/>
        <item x="6"/>
        <item t="default"/>
      </items>
    </pivotField>
    <pivotField numFmtId="1" showAll="0"/>
    <pivotField showAll="0"/>
    <pivotField showAll="0"/>
  </pivotFields>
  <rowFields count="1">
    <field x="5"/>
  </rowFields>
  <rowItems count="7">
    <i>
      <x/>
    </i>
    <i>
      <x v="1"/>
    </i>
    <i>
      <x v="2"/>
    </i>
    <i>
      <x v="3"/>
    </i>
    <i>
      <x v="4"/>
    </i>
    <i>
      <x v="5"/>
    </i>
    <i t="grand">
      <x/>
    </i>
  </rowItems>
  <colItems count="1">
    <i/>
  </colItems>
  <dataFields count="1">
    <dataField name="Count of Review" fld="4" subtotal="count" baseField="5" baseItem="0"/>
  </dataFields>
  <chartFormats count="7">
    <chartFormat chart="5" format="1" series="1">
      <pivotArea type="data" outline="0" fieldPosition="0">
        <references count="1">
          <reference field="4294967294" count="1" selected="0">
            <x v="0"/>
          </reference>
        </references>
      </pivotArea>
    </chartFormat>
    <chartFormat chart="5" format="2">
      <pivotArea type="data" outline="0" fieldPosition="0">
        <references count="2">
          <reference field="4294967294" count="1" selected="0">
            <x v="0"/>
          </reference>
          <reference field="5" count="1" selected="0">
            <x v="0"/>
          </reference>
        </references>
      </pivotArea>
    </chartFormat>
    <chartFormat chart="5" format="3">
      <pivotArea type="data" outline="0" fieldPosition="0">
        <references count="2">
          <reference field="4294967294" count="1" selected="0">
            <x v="0"/>
          </reference>
          <reference field="5" count="1" selected="0">
            <x v="1"/>
          </reference>
        </references>
      </pivotArea>
    </chartFormat>
    <chartFormat chart="5" format="4">
      <pivotArea type="data" outline="0" fieldPosition="0">
        <references count="2">
          <reference field="4294967294" count="1" selected="0">
            <x v="0"/>
          </reference>
          <reference field="5" count="1" selected="0">
            <x v="2"/>
          </reference>
        </references>
      </pivotArea>
    </chartFormat>
    <chartFormat chart="5" format="5">
      <pivotArea type="data" outline="0" fieldPosition="0">
        <references count="2">
          <reference field="4294967294" count="1" selected="0">
            <x v="0"/>
          </reference>
          <reference field="5" count="1" selected="0">
            <x v="3"/>
          </reference>
        </references>
      </pivotArea>
    </chartFormat>
    <chartFormat chart="5" format="6">
      <pivotArea type="data" outline="0" fieldPosition="0">
        <references count="2">
          <reference field="4294967294" count="1" selected="0">
            <x v="0"/>
          </reference>
          <reference field="5" count="1" selected="0">
            <x v="4"/>
          </reference>
        </references>
      </pivotArea>
    </chartFormat>
    <chartFormat chart="5" format="7">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8BFC7CB-4EF9-4FCB-8885-3023800D3950}" name="PivotTable2" cacheId="35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B9" firstHeaderRow="1" firstDataRow="1" firstDataCol="1"/>
  <pivotFields count="3">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Average of Ratings" fld="1" subtotal="average" baseField="0" baseItem="0"/>
  </dataFields>
  <pivotHierarchies count="35">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Average of Rating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2">
      <autoFilter ref="A1">
        <filterColumn colId="0">
          <top10 val="5" filterVal="5"/>
        </filterColumn>
      </autoFilter>
    </filter>
  </filter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_jumia_dataset (1)!$A$1:$I$113">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50082B4-A686-42EB-8862-1E05E3890F2F}" name="PivotTable3" cacheId="35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3">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Average of Ratings" fld="1" subtotal="average" baseField="0" baseItem="0"/>
  </dataFields>
  <pivotHierarchies count="35">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Rating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4">
      <autoFilter ref="A1">
        <filterColumn colId="0">
          <top10 top="0" val="5" filterVal="5"/>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_jumia_dataset (1)!$A:$I">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22400BC-8FD8-472B-9430-63B7FDB0991D}" name="PivotTable4" cacheId="3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Max of Discount" fld="1" subtotal="max" baseField="0" baseItem="0"/>
  </dataFields>
  <pivotHierarchies count="35">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Discount"/>
    <pivotHierarchy dragToData="1" caption="Count of Discount"/>
    <pivotHierarchy dragToData="1" caption="Max of Discount"/>
    <pivotHierarchy dragToData="1"/>
    <pivotHierarchy dragToData="1" caption="Max of Review"/>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3" iMeasureHier="28">
      <autoFilter ref="A1">
        <filterColumn colId="0">
          <top10 val="10" filterVal="10"/>
        </filterColumn>
      </autoFilter>
    </filter>
  </filter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_jumia_dataset (1)!$A$1:$I$113">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22204DB-B458-42F6-8277-8CB9719A5B7D}" name="PivotTable6" cacheId="3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4"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1"/>
    </i>
    <i>
      <x v="2"/>
    </i>
    <i>
      <x v="7"/>
    </i>
    <i>
      <x v="3"/>
    </i>
    <i>
      <x/>
    </i>
    <i>
      <x v="9"/>
    </i>
    <i>
      <x v="5"/>
    </i>
    <i>
      <x v="8"/>
    </i>
    <i>
      <x v="6"/>
    </i>
    <i>
      <x v="4"/>
    </i>
    <i t="grand">
      <x/>
    </i>
  </rowItems>
  <colItems count="1">
    <i/>
  </colItems>
  <dataFields count="1">
    <dataField name="Max of Review" fld="1" subtotal="max" baseField="0" baseItem="0"/>
  </dataFields>
  <chartFormats count="1">
    <chartFormat chart="8" format="1" series="1">
      <pivotArea type="data" outline="0" fieldPosition="0">
        <references count="1">
          <reference field="4294967294" count="1" selected="0">
            <x v="0"/>
          </reference>
        </references>
      </pivotArea>
    </chartFormat>
  </chartFormats>
  <pivotHierarchies count="35">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Max of Review"/>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0">
      <autoFilter ref="A1">
        <filterColumn colId="0">
          <top10 val="10" filterVal="10"/>
        </filterColumn>
      </autoFilter>
    </filter>
  </filter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_jumia_dataset (1)!$A$1:$I$113">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A4EDE32-4392-402F-8B6A-7E4AB792A13E}" name="PivotTable2" cacheId="36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F8" firstHeaderRow="1" firstDataRow="2" firstDataCol="1"/>
  <pivotFields count="4">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4">
        <item x="0"/>
        <item x="1"/>
        <item x="2"/>
        <item x="3"/>
      </items>
    </pivotField>
    <pivotField dataField="1" subtotalTop="0" showAll="0" defaultSubtotal="0"/>
  </pivotFields>
  <rowFields count="1">
    <field x="1"/>
  </rowFields>
  <rowItems count="4">
    <i>
      <x/>
    </i>
    <i>
      <x v="1"/>
    </i>
    <i>
      <x v="2"/>
    </i>
    <i t="grand">
      <x/>
    </i>
  </rowItems>
  <colFields count="1">
    <field x="2"/>
  </colFields>
  <colItems count="5">
    <i>
      <x/>
    </i>
    <i>
      <x v="1"/>
    </i>
    <i>
      <x v="2"/>
    </i>
    <i>
      <x v="3"/>
    </i>
    <i t="grand">
      <x/>
    </i>
  </colItems>
  <dataFields count="1">
    <dataField name="Count of Ratings" fld="3" subtotal="count" baseField="1" baseItem="2"/>
  </dataFields>
  <pivotHierarchies count="35">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Ratings"/>
    <pivotHierarchy dragToData="1" caption="Max of Ratings"/>
    <pivotHierarchy dragToData="1"/>
    <pivotHierarchy dragToData="1"/>
  </pivotHierarchies>
  <pivotTableStyleInfo name="PivotStyleLight16" showRowHeaders="1" showColHeaders="1" showRowStripes="0" showColStripes="0" showLastColumn="1"/>
  <filters count="1">
    <filter fld="0" type="count" id="1" iMeasureHier="31">
      <autoFilter ref="A1">
        <filterColumn colId="0">
          <top10 val="10" filterVal="10"/>
        </filterColumn>
      </autoFilter>
    </filter>
  </filters>
  <rowHierarchiesUsage count="1">
    <rowHierarchyUsage hierarchyUsage="8"/>
  </rowHierarchiesUsage>
  <colHierarchiesUsage count="1">
    <colHierarchyUsage hierarchyUsage="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_jumia_dataset (1)!$A$1:$I$113">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Category" xr10:uid="{6AED46C8-C353-4ADF-9834-D344A5042D51}" sourceName="[Range].[Rating Category]">
  <pivotTables>
    <pivotTable tabId="16" name="PivotTable2"/>
    <pivotTable tabId="6" name="PivotTable2"/>
    <pivotTable tabId="7" name="PivotTable3"/>
    <pivotTable tabId="8" name="PivotTable4"/>
    <pivotTable tabId="11" name="PivotTable6"/>
  </pivotTables>
  <data>
    <olap pivotCacheId="7621298">
      <levels count="2">
        <level uniqueName="[Range].[Rating Category].[(All)]" sourceCaption="(All)" count="0"/>
        <level uniqueName="[Range].[Rating Category].[Rating Category]" sourceCaption="Rating Category" count="4">
          <ranges>
            <range startItem="0">
              <i n="[Range].[Rating Category].&amp;[]" c=""/>
              <i n="[Range].[Rating Category].&amp;[Average]" c="Average"/>
              <i n="[Range].[Rating Category].&amp;[Excellent]" c="Excellent"/>
              <i n="[Range].[Rating Category].&amp;[Poor]" c="Poor"/>
            </range>
          </ranges>
        </level>
      </levels>
      <selections count="1">
        <selection n="[Range].[Rating 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s" xr10:uid="{83494242-9403-454A-9B86-BCFC8EDF52E6}" sourceName="[Range].[Ratings]">
  <pivotTables>
    <pivotTable tabId="16" name="PivotTable2"/>
    <pivotTable tabId="6" name="PivotTable2"/>
    <pivotTable tabId="7" name="PivotTable3"/>
    <pivotTable tabId="8" name="PivotTable4"/>
    <pivotTable tabId="11" name="PivotTable6"/>
  </pivotTables>
  <data>
    <olap pivotCacheId="7621298">
      <levels count="2">
        <level uniqueName="[Range].[Ratings].[(All)]" sourceCaption="(All)" count="0"/>
        <level uniqueName="[Range].[Ratings].[Ratings]" sourceCaption="Ratings" count="23">
          <ranges>
            <range startItem="0">
              <i n="[Range].[Ratings].&amp;[2.]" c="2"/>
              <i n="[Range].[Ratings].&amp;[2.1]" c="2.1"/>
              <i n="[Range].[Ratings].&amp;[2.2]" c="2.2"/>
              <i n="[Range].[Ratings].&amp;[2.3]" c="2.3"/>
              <i n="[Range].[Ratings].&amp;[2.5]" c="2.5"/>
              <i n="[Range].[Ratings].&amp;[2.6]" c="2.6"/>
              <i n="[Range].[Ratings].&amp;[2.7]" c="2.7"/>
              <i n="[Range].[Ratings].&amp;[2.8]" c="2.8"/>
              <i n="[Range].[Ratings].&amp;[2.9]" c="2.9"/>
              <i n="[Range].[Ratings].&amp;[3.]" c="3"/>
              <i n="[Range].[Ratings].&amp;[3.3]" c="3.3"/>
              <i n="[Range].[Ratings].&amp;[3.8]" c="3.8"/>
              <i n="[Range].[Ratings].&amp;[4.]" c="4"/>
              <i n="[Range].[Ratings].&amp;[4.1]" c="4.1"/>
              <i n="[Range].[Ratings].&amp;[4.2]" c="4.2"/>
              <i n="[Range].[Ratings].&amp;[4.3]" c="4.3"/>
              <i n="[Range].[Ratings].&amp;[4.4]" c="4.4"/>
              <i n="[Range].[Ratings].&amp;[4.5]" c="4.5"/>
              <i n="[Range].[Ratings].&amp;[4.6]" c="4.6"/>
              <i n="[Range].[Ratings].&amp;[4.7]" c="4.7"/>
              <i n="[Range].[Ratings].&amp;[4.8]" c="4.8"/>
              <i n="[Range].[Ratings].&amp;[5.]" c="5"/>
              <i n="[Range].[Ratings].&amp;" c="(blank)"/>
            </range>
          </ranges>
        </level>
      </levels>
      <selections count="1">
        <selection n="[Range].[Ratings].[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61EC99AD-BF13-47D8-9187-3926D6D120C9}" sourceName="[Range].[Product]">
  <pivotTables>
    <pivotTable tabId="16" name="PivotTable2"/>
    <pivotTable tabId="6" name="PivotTable2"/>
    <pivotTable tabId="7" name="PivotTable3"/>
    <pivotTable tabId="8" name="PivotTable4"/>
    <pivotTable tabId="11" name="PivotTable6"/>
  </pivotTables>
  <data>
    <olap pivotCacheId="7621298">
      <levels count="2">
        <level uniqueName="[Range].[Product].[(All)]" sourceCaption="(All)" count="0"/>
        <level uniqueName="[Range].[Product].[Product]" sourceCaption="Product" count="109">
          <ranges>
            <range startItem="0">
              <i n="[Range].[Product].&amp;[1/2/3 Seater Elastic Sofa Cover,Living Room/Home Decor Chair Cover-Grey]" c="1/2/3 Seater Elastic Sofa Cover,Living Room/Home Decor Chair Cover-Grey"/>
              <i n="[Range].[Product].&amp;[100 Pcs Crochet Hook Tool Set Knitting Hook Set With Box]" c="100 Pcs Crochet Hook Tool Set Knitting Hook Set With Box"/>
              <i n="[Range].[Product].&amp;[115  Piece Set Of Multifunctional Precision Screwdrivers]" c="115  Piece Set Of Multifunctional Precision Screwdrivers"/>
              <i n="[Range].[Product].&amp;[12 Litre Black Insulated Lunch Box]" c="12 Litre Black Insulated Lunch Box"/>
              <i n="[Range].[Product].&amp;[12 Litre Insulated Lunch Box Grey]" c="12 Litre Insulated Lunch Box Grey"/>
              <i n="[Range].[Product].&amp;[120W Cordless Vacuum Cleaners Handheld Electric Vacuum Cleaner]" c="120W Cordless Vacuum Cleaners Handheld Electric Vacuum Cleaner"/>
              <i n="[Range].[Product].&amp;[13 In 1 Home Repair Tools Box Kit Set]" c="13 In 1 Home Repair Tools Box Kit Set"/>
              <i n="[Range].[Product].&amp;[137 Pieces Cake Decorating Tool Set Baking Supplies]" c="137 Pieces Cake Decorating Tool Set Baking Supplies"/>
              <i n="[Range].[Product].&amp;[220V 60W Electric Soldering Iron Kits With Tools, Tips, And Multimeter]" c="220V 60W Electric Soldering Iron Kits With Tools, Tips, And Multimeter"/>
              <i n="[Range].[Product].&amp;[32PCS Portable Cordless Drill Set With Cyclic Battery Drive -26 Variable Speed]" c="32PCS Portable Cordless Drill Set With Cyclic Battery Drive -26 Variable Speed"/>
              <i n="[Range].[Product].&amp;[380ML USB Rechargeable Portable Small Blenders And Juicers]" c="380ML USB Rechargeable Portable Small Blenders And Juicers"/>
              <i n="[Range].[Product].&amp;[3D Waterproof EVA Plastic Shower Curtain 1.8*2Mtrs]" c="3D Waterproof EVA Plastic Shower Curtain 1.8*2Mtrs"/>
              <i n="[Range].[Product].&amp;[3PCS Single Head Knitting Crochet Sweater Needle Set]" c="3PCS Single Head Knitting Crochet Sweater Needle Set"/>
              <i n="[Range].[Product].&amp;[40cm Gold DIY Acrylic Wall Sticker Clock]" c="40cm Gold DIY Acrylic Wall Sticker Clock"/>
              <i n="[Range].[Product].&amp;[5 Pieces/set Of Stainless Steel Induction Cooker Pots]" c="5 Pieces/set Of Stainless Steel Induction Cooker Pots"/>
              <i n="[Range].[Product].&amp;[52 Pieces Cake Decorating Tool Set Gift Kit Baking Supplies]" c="52 Pieces Cake Decorating Tool Set Gift Kit Baking Supplies"/>
              <i n="[Range].[Product].&amp;[53 Pieces/Set Yarn Knitting Crochet Hooks With Bag - Pansies]" c="53 Pieces/Set Yarn Knitting Crochet Hooks With Bag - Pansies"/>
              <i n="[Range].[Product].&amp;[53Pcs/Set Yarn Knitting Crochet Hooks With Bag - Fortune Cat]" c="53Pcs/Set Yarn Knitting Crochet Hooks With Bag - Fortune Cat"/>
              <i n="[Range].[Product].&amp;[5-PCS Stainless Steel Cooking Pot Set With Steamed Slices]" c="5-PCS Stainless Steel Cooking Pot Set With Steamed Slices"/>
              <i n="[Range].[Product].&amp;[7-piece Set Of Storage Bags, Travel Storage Bags, Shoe Bags]" c="7-piece Set Of Storage Bags, Travel Storage Bags, Shoe Bags"/>
              <i n="[Range].[Product].&amp;[Agapeon Toothbrush Holder And Toothpaste Dispenser]" c="Agapeon Toothbrush Holder And Toothpaste Dispenser"/>
              <i n="[Range].[Product].&amp;[Anti-Skid Absorbent Insulation Coaster  For Home Office]" c="Anti-Skid Absorbent Insulation Coaster  For Home Office"/>
              <i n="[Range].[Product].&amp;[Artificial Potted Flowers Room Decorative Flowers (2 Pieces)]" c="Artificial Potted Flowers Room Decorative Flowers (2 Pieces)"/>
              <i n="[Range].[Product].&amp;[Bedroom Simple Floor Hanging Clothes Rack Single Pole Hat Rack - White]" c="Bedroom Simple Floor Hanging Clothes Rack Single Pole Hat Rack - White"/>
              <i n="[Range].[Product].&amp;[Classic Black Cat Cotton Hemp Pillow Case For Home Car]" c="Classic Black Cat Cotton Hemp Pillow Case For Home Car"/>
              <i n="[Range].[Product].&amp;[Desk Foldable Fan Adjustable Fan Strong Wind 3 Gear Usb]" c="Desk Foldable Fan Adjustable Fan Strong Wind 3 Gear Usb"/>
              <i n="[Range].[Product].&amp;[DIY File Folder, Office Drawer File Holder, Pen Holder, Desktop Storage Rack]" c="DIY File Folder, Office Drawer File Holder, Pen Holder, Desktop Storage Rack"/>
              <i n="[Range].[Product].&amp;[Electric LED UV Mosquito Killer Lamp, Outdoor/Indoor Fly Killer Trap Light -USB]" c="Electric LED UV Mosquito Killer Lamp, Outdoor/Indoor Fly Killer Trap Light -USB"/>
              <i n="[Range].[Product].&amp;[Electronic Digital Display Vernier Caliper]" c="Electronic Digital Display Vernier Caliper"/>
              <i n="[Range].[Product].&amp;[Exfoliate And Exfoliate Face Towel - Black]" c="Exfoliate And Exfoliate Face Towel - Black"/>
              <i n="[Range].[Product].&amp;[Foldable Overbed Table/Desk]" c="Foldable Overbed Table/Desk"/>
              <i n="[Range].[Product].&amp;[Genebre 115 In 1 Screwdriver Repairing Tool Set For IPhone Cellphone Hand Tool]" c="Genebre 115 In 1 Screwdriver Repairing Tool Set For IPhone Cellphone Hand Tool"/>
              <i n="[Range].[Product].&amp;[Household Pineapple Peeler Peeler]" c="Household Pineapple Peeler Peeler"/>
              <i n="[Range].[Product].&amp;[Intelligent  LED Body Sensor Wireless Lighting Night Light USB]" c="Intelligent  LED Body Sensor Wireless Lighting Night Light USB"/>
              <i n="[Range].[Product].&amp;[Konka Healty Electric Kettle, 24-hour Heat Preservation,1.5L,800W, White]" c="Konka Healty Electric Kettle, 24-hour Heat Preservation,1.5L,800W, White"/>
              <i n="[Range].[Product].&amp;[Large Lazy Inflatable Sofa Chairs PVC Lounger Seat Bag]" c="Large Lazy Inflatable Sofa Chairs PVC Lounger Seat Bag"/>
              <i n="[Range].[Product].&amp;[LASA 3 Tier Bamboo Shoe Bench Storage Shelf]" c="LASA 3 Tier Bamboo Shoe Bench Storage Shelf"/>
              <i n="[Range].[Product].&amp;[LASA Aluminum Folding Truck Hand Cart - 68kg Max]" c="LASA Aluminum Folding Truck Hand Cart - 68kg Max"/>
              <i n="[Range].[Product].&amp;[LASA Digital Thermometer And Hydrometer]" c="LASA Digital Thermometer And Hydrometer"/>
              <i n="[Range].[Product].&amp;[LASA FOLDING TABLE SERVING STAND]" c="LASA FOLDING TABLE SERVING STAND"/>
              <i n="[Range].[Product].&amp;[LED Eye Protection  Desk Lamp , Study, Reading, USB Fan - Double Pen Holder]" c="LED Eye Protection  Desk Lamp , Study, Reading, USB Fan - Double Pen Holder"/>
              <i n="[Range].[Product].&amp;[LED Romantic Spaceship Starry Sky Projector,Children's Bedroom Night Light-Blue]" c="LED Romantic Spaceship Starry Sky Projector,Children's Bedroom Night Light-Blue"/>
              <i n="[Range].[Product].&amp;[LED Wall Digital Alarm Clock Study Home 12 / 24H Clock Calendar]" c="LED Wall Digital Alarm Clock Study Home 12 / 24H Clock Calendar"/>
              <i n="[Range].[Product].&amp;[Memory Foam Neck Pillow Cover, With Pillow Core - 50*30cm]" c="Memory Foam Neck Pillow Cover, With Pillow Core - 50*30cm"/>
              <i n="[Range].[Product].&amp;[Metal Decorative Hooks Key Hangers Entryway Wall Hooks Towel Hooks - Home]" c="Metal Decorative Hooks Key Hangers Entryway Wall Hooks Towel Hooks - Home"/>
              <i n="[Range].[Product].&amp;[Multifunction Laser Level With Adjustment Tripod]" c="Multifunction Laser Level With Adjustment Tripod"/>
              <i n="[Range].[Product].&amp;[Mythco 120COB Solar Wall Ligt With Motion Sensor And Remote Control 3 Modes]" c="Mythco 120COB Solar Wall Ligt With Motion Sensor And Remote Control 3 Modes"/>
              <i n="[Range].[Product].&amp;[Peacock  Throw Pillow Cushion Case For Home Car]" c="Peacock  Throw Pillow Cushion Case For Home Car"/>
              <i n="[Range].[Product].&amp;[Portable Home Small Air Humidifier 3-Speed Fan - Green]" c="Portable Home Small Air Humidifier 3-Speed Fan - Green"/>
              <i n="[Range].[Product].&amp;[Portable Mini Cordless Car Vacuum Cleaner - Blue]" c="Portable Mini Cordless Car Vacuum Cleaner - Blue"/>
              <i n="[Range].[Product].&amp;[Portable Wardrobe Nonwoven With 3 Hanging Rods And 6 Storage Shelves]" c="Portable Wardrobe Nonwoven With 3 Hanging Rods And 6 Storage Shelves"/>
              <i n="[Range].[Product].&amp;[Punch-free Great Load Bearing Bathroom Storage Rack Wall Shelf-White]" c="Punch-free Great Load Bearing Bathroom Storage Rack Wall Shelf-White"/>
              <i n="[Range].[Product].&amp;[VIC Wireless Vacuum Cleaner Dual Use For Home And Car 120W High Power Powerful]" c="VIC Wireless Vacuum Cleaner Dual Use For Home And Car 120W High Power Powerful"/>
              <i n="[Range].[Product].&amp;[Wall-mounted Sticker Punch-free Plug Fixer]" c="Wall-mounted Sticker Punch-free Plug Fixer"/>
              <i n="[Range].[Product].&amp;[Watercolour Gold Foil Textured Print Pillow Cover]" c="Watercolour Gold Foil Textured Print Pillow Cover"/>
              <i n="[Range].[Product].&amp;[Weighing Scale Digital Bathroom Body Fat Scale USB-Black]" c="Weighing Scale Digital Bathroom Body Fat Scale USB-Black"/>
              <i n="[Range].[Product].&amp;[Wrought Iron Bathroom Shelf Wall Mounted Free Punch Toilet Rack]" c="Wrought Iron Bathroom Shelf Wall Mounted Free Punch Toilet Rack"/>
              <i n="[Range].[Product].&amp;[12V 19500rpm Handheld Electric Angle Grinder Tool - UK - Yellow/Black]" c="12V 19500rpm Handheld Electric Angle Grinder Tool - UK - Yellow/Black"/>
              <i n="[Range].[Product].&amp;[1PC Refrigerator Food Seal Pocket Fridge Bags]" c="1PC Refrigerator Food Seal Pocket Fridge Bags"/>
              <i n="[Range].[Product].&amp;[2 Pairs Cowhide Split Leather Work Gloves.32â„‰ Or Above Welding Gloves]" c="2 Pairs Cowhide Split Leather Work Gloves.32â„‰ Or Above Welding Gloves"/>
              <i n="[Range].[Product].&amp;[24 Grid Wall-mounted Sundries Organiser Fabric Closet Bag Storage Rack]" c="24 Grid Wall-mounted Sundries Organiser Fabric Closet Bag Storage Rack"/>
              <i n="[Range].[Product].&amp;[2PCS Ice Silk Square Cushion Cover Pillowcases - 65x65cm]" c="2PCS Ice Silk Square Cushion Cover Pillowcases - 65x65cm"/>
              <i n="[Range].[Product].&amp;[2pcs Solar Street Light Flood Light Outdoor]" c="2pcs Solar Street Light Flood Light Outdoor"/>
              <i n="[Range].[Product].&amp;[2PCS/LOT Solar LED Outdoor Intelligent Light Controlled Wall Lamp]" c="2PCS/LOT Solar LED Outdoor Intelligent Light Controlled Wall Lamp"/>
              <i n="[Range].[Product].&amp;[3PCS Rotary Scraper Thermomix For Kitchen]" c="3PCS Rotary Scraper Thermomix For Kitchen"/>
              <i n="[Range].[Product].&amp;[4 Piece Coloured Stainless Steel Kitchenware Set]" c="4 Piece Coloured Stainless Steel Kitchenware Set"/>
              <i n="[Range].[Product].&amp;[4M Float Switch Water Level Controller -Water Tank]" c="4M Float Switch Water Level Controller -Water Tank"/>
              <i n="[Range].[Product].&amp;[4pcs Bathroom/Kitchen Towel Rack,Roll Paper Holder,Towel Bars,Hook]" c="4pcs Bathroom/Kitchen Towel Rack,Roll Paper Holder,Towel Bars,Hook"/>
              <i n="[Range].[Product].&amp;[5m Waterproof Spherical LED String Lights Outdoor Ball Chain Lights Party Lighting Decoration Adjustable]" c="5m Waterproof Spherical LED String Lights Outdoor Ball Chain Lights Party Lighting Decoration Adjustable"/>
              <i n="[Range].[Product].&amp;[6 In 1 Bottle Can Opener Multifunctional Easy Opener]" c="6 In 1 Bottle Can Opener Multifunctional Easy Opener"/>
              <i n="[Range].[Product].&amp;[6 Layers Steel Pipe Assembling Dustproof Storage Shoe Cabinet]" c="6 Layers Steel Pipe Assembling Dustproof Storage Shoe Cabinet"/>
              <i n="[Range].[Product].&amp;[60W Hot Melt Glue Sprayer - Efficient And Stable Glue Dispensing]" c="60W Hot Melt Glue Sprayer - Efficient And Stable Glue Dispensing"/>
              <i n="[Range].[Product].&amp;[7PCS Silicone Thumb Knife Finger Protector Vegetable Harvesting Knife]" c="7PCS Silicone Thumb Knife Finger Protector Vegetable Harvesting Knife"/>
              <i n="[Range].[Product].&amp;[8in1 Screwdriver With LED Light]" c="8in1 Screwdriver With LED Light"/>
              <i n="[Range].[Product].&amp;[9pcs Gas Mask, For Painting, Dust, Formaldehyde Grinding, Polishing]" c="9pcs Gas Mask, For Painting, Dust, Formaldehyde Grinding, Polishing"/>
              <i n="[Range].[Product].&amp;[Angle Measuring Tool Full Metal Multi Angle Measuring Tool]" c="Angle Measuring Tool Full Metal Multi Angle Measuring Tool"/>
              <i n="[Range].[Product].&amp;[Baby Early Education Shape And Color Cognitive Training Toys]" c="Baby Early Education Shape And Color Cognitive Training Toys"/>
              <i n="[Range].[Product].&amp;[Balloon Insert, Birthday Party Balloon Set, PU Leather]" c="Balloon Insert, Birthday Party Balloon Set, PU Leather"/>
              <i n="[Range].[Product].&amp;[Black Simple Water Cup Wine Coaster Anti Slip Absorbent]" c="Black Simple Water Cup Wine Coaster Anti Slip Absorbent"/>
              <i n="[Range].[Product].&amp;[Brush &amp; Paintbrush Cleaning Tool Pink]" c="Brush &amp; Paintbrush Cleaning Tool Pink"/>
              <i n="[Range].[Product].&amp;[Car Phone Charging Stand]" c="Car Phone Charging Stand"/>
              <i n="[Range].[Product].&amp;[Cartoon Car Decoration Cute Individuality For Car Home Desk]" c="Cartoon Car Decoration Cute Individuality For Car Home Desk"/>
              <i n="[Range].[Product].&amp;[Cartoon Embroidered Mini Towel Bear Cotton Wash Cloth Hand 4pcs]" c="Cartoon Embroidered Mini Towel Bear Cotton Wash Cloth Hand 4pcs"/>
              <i n="[Range].[Product].&amp;[Christmas Elk Fence Yard Lawn Decorations Cute For Holidays]" c="Christmas Elk Fence Yard Lawn Decorations Cute For Holidays"/>
              <i n="[Range].[Product].&amp;[Christmas Fence Garden Decorations Outdoor For Holiday Home]" c="Christmas Fence Garden Decorations Outdoor For Holiday Home"/>
              <i n="[Range].[Product].&amp;[Creative Owl Shape Keychain Black]" c="Creative Owl Shape Keychain Black"/>
              <i n="[Range].[Product].&amp;[Cushion Silicone Butt Cushion Summer Ice Cushion Honeycomb Gel Cushion]" c="Cushion Silicone Butt Cushion Summer Ice Cushion Honeycomb Gel Cushion"/>
              <i n="[Range].[Product].&amp;[Cute Christmas Fence Garden Decorations For Holiday Home]" c="Cute Christmas Fence Garden Decorations For Holiday Home"/>
              <i n="[Range].[Product].&amp;[LASA Stainless Steel Double Wall Mount Soap Dispenser - 500ml]" c="LASA Stainless Steel Double Wall Mount Soap Dispenser - 500ml"/>
              <i n="[Range].[Product].&amp;[LED Solar Street Light-fake Camera]" c="LED Solar Street Light-fake Camera"/>
              <i n="[Range].[Product].&amp;[Metal Wall Clock Silver Dial Crystal Jewelry Round Home Decoration Wall Clock]" c="Metal Wall Clock Silver Dial Crystal Jewelry Round Home Decoration Wall Clock"/>
              <i n="[Range].[Product].&amp;[Modern Sofa Throw Pillow Cover-45x45cm-Blue&amp;Red]" c="Modern Sofa Throw Pillow Cover-45x45cm-Blue&amp;Red"/>
              <i n="[Range].[Product].&amp;[Multifunctional Hanging Storage Box Storage Bag (4 Layers)]" c="Multifunctional Hanging Storage Box Storage Bag (4 Layers)"/>
              <i n="[Range].[Product].&amp;[MultiFunctional Storage Rack Multi-layer Bookshelf]" c="MultiFunctional Storage Rack Multi-layer Bookshelf"/>
              <i n="[Range].[Product].&amp;[Multi-purpose Rice Drainage Basket And Fruit And Vegetable Drainage Sieve]" c="Multi-purpose Rice Drainage Basket And Fruit And Vegetable Drainage Sieve"/>
              <i n="[Range].[Product].&amp;[Office Chair Lumbar Back Support Spine Posture Correction Pillow Car Cushion]" c="Office Chair Lumbar Back Support Spine Posture Correction Pillow Car Cushion"/>
              <i n="[Range].[Product].&amp;[Outdoor Portable Water Bottle With Medicine Box - 600ML - Black]" c="Outdoor Portable Water Bottle With Medicine Box - 600ML - Black"/>
              <i n="[Range].[Product].&amp;[Pen Grips For Kids Pen Grip Posture Correction Tool For Kids]" c="Pen Grips For Kids Pen Grip Posture Correction Tool For Kids"/>
              <i n="[Range].[Product].&amp;[Pilates Cloth Bag Waterproof Durable High Capacity Purple]" c="Pilates Cloth Bag Waterproof Durable High Capacity Purple"/>
              <i n="[Range].[Product].&amp;[Portable Soap Dispenser Kitchen Detergent Press Box Kitchen Tools]" c="Portable Soap Dispenser Kitchen Detergent Press Box Kitchen Tools"/>
              <i n="[Range].[Product].&amp;[Portable Wine Table With Folding Round Table]" c="Portable Wine Table With Folding Round Table"/>
              <i n="[Range].[Product].&amp;[Sewing Machine Needle Threader Stitch Insertion Tool Automatic Quick Sewing]" c="Sewing Machine Needle Threader Stitch Insertion Tool Automatic Quick Sewing"/>
              <i n="[Range].[Product].&amp;[Shower Cap Wide Elastic Band Cover Reusable Bashroom Cap]" c="Shower Cap Wide Elastic Band Cover Reusable Bashroom Cap"/>
              <i n="[Range].[Product].&amp;[Shower Nozzle Cleaning Unclogging Needle Mini Crevice Small Hole Cleaning Brush]" c="Shower Nozzle Cleaning Unclogging Needle Mini Crevice Small Hole Cleaning Brush"/>
              <i n="[Range].[Product].&amp;[Simple Metal Dog Art Sculpture Decoration For Home Office]" c="Simple Metal Dog Art Sculpture Decoration For Home Office"/>
              <i n="[Range].[Product].&amp;[Thickening Multipurpose Non Stick Easy To Clean Heat Resistant Spoon Pad]" c="Thickening Multipurpose Non Stick Easy To Clean Heat Resistant Spoon Pad"/>
              <i n="[Range].[Product].&amp;[Wall Clock With Hidden Safe Box]" c="Wall Clock With Hidden Safe Box"/>
              <i n="[Range].[Product].&amp;[Wall Mount Automatic Toothpaste Dispenser Toothbrush Holder Toothpaste Squeezer]" c="Wall Mount Automatic Toothpaste Dispenser Toothbrush Holder Toothpaste Squeezer"/>
              <i n="[Range].[Product].&amp;[Wall-Mounted Toothbrush Toothpaste Holder With Multiple Slots]" c="Wall-Mounted Toothbrush Toothpaste Holder With Multiple Slots"/>
            </range>
          </ranges>
        </level>
      </levels>
      <selections count="1">
        <selection n="[Range].[Produc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ting Category 1" xr10:uid="{E6BB003A-0942-41E5-8318-9274A4165791}" cache="Slicer_Rating_Category" caption="Rating Category" level="1" rowHeight="241300"/>
  <slicer name="Ratings 1" xr10:uid="{C7C6A713-CFB1-4F4A-B9C9-C02436026EB5}" cache="Slicer_Ratings" caption="Ratings" startItem="15" level="1" rowHeight="241300"/>
  <slicer name="Product 1" xr10:uid="{DA1130B6-CA0D-495D-8CBF-6537543CB938}" cache="Slicer_Product" caption="Product" startItem="16"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ting Category" xr10:uid="{35368220-DE19-46D6-8DAF-A3876A02BB5E}" cache="Slicer_Rating_Category" caption="Rating Category" level="1" rowHeight="241300"/>
  <slicer name="Ratings" xr10:uid="{2676A0FB-8D02-4CC9-A89D-C65456E56C29}" cache="Slicer_Ratings" caption="Ratings" level="1" rowHeight="241300"/>
  <slicer name="Product" xr10:uid="{ECCCB698-AB83-404D-841D-DA162CFF2917}" cache="Slicer_Product" caption="Product"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45BDCB-0FE2-40A8-8A76-8ED98524807D}">
  <dimension ref="A3:B16"/>
  <sheetViews>
    <sheetView workbookViewId="0">
      <selection activeCell="P25" sqref="P25"/>
    </sheetView>
  </sheetViews>
  <sheetFormatPr defaultRowHeight="15" x14ac:dyDescent="0.25"/>
  <cols>
    <col min="1" max="1" width="13.140625" bestFit="1" customWidth="1"/>
    <col min="2" max="2" width="15.7109375" bestFit="1" customWidth="1"/>
  </cols>
  <sheetData>
    <row r="3" spans="1:2" x14ac:dyDescent="0.25">
      <c r="A3" s="5" t="s">
        <v>125</v>
      </c>
      <c r="B3" t="s">
        <v>127</v>
      </c>
    </row>
    <row r="4" spans="1:2" x14ac:dyDescent="0.25">
      <c r="A4" s="7" t="s">
        <v>128</v>
      </c>
      <c r="B4" s="8"/>
    </row>
    <row r="5" spans="1:2" x14ac:dyDescent="0.25">
      <c r="A5" s="7" t="s">
        <v>129</v>
      </c>
      <c r="B5" s="8">
        <v>1</v>
      </c>
    </row>
    <row r="6" spans="1:2" x14ac:dyDescent="0.25">
      <c r="A6" s="7" t="s">
        <v>130</v>
      </c>
      <c r="B6" s="8">
        <v>1</v>
      </c>
    </row>
    <row r="7" spans="1:2" x14ac:dyDescent="0.25">
      <c r="A7" s="7" t="s">
        <v>131</v>
      </c>
      <c r="B7" s="8">
        <v>3</v>
      </c>
    </row>
    <row r="8" spans="1:2" x14ac:dyDescent="0.25">
      <c r="A8" s="7" t="s">
        <v>132</v>
      </c>
      <c r="B8" s="8">
        <v>5</v>
      </c>
    </row>
    <row r="9" spans="1:2" x14ac:dyDescent="0.25">
      <c r="A9" s="7" t="s">
        <v>133</v>
      </c>
      <c r="B9" s="8">
        <v>5</v>
      </c>
    </row>
    <row r="10" spans="1:2" x14ac:dyDescent="0.25">
      <c r="A10" s="7" t="s">
        <v>134</v>
      </c>
      <c r="B10" s="8">
        <v>6</v>
      </c>
    </row>
    <row r="11" spans="1:2" x14ac:dyDescent="0.25">
      <c r="A11" s="7" t="s">
        <v>135</v>
      </c>
      <c r="B11" s="8">
        <v>6</v>
      </c>
    </row>
    <row r="12" spans="1:2" x14ac:dyDescent="0.25">
      <c r="A12" s="7" t="s">
        <v>136</v>
      </c>
      <c r="B12" s="8">
        <v>7</v>
      </c>
    </row>
    <row r="13" spans="1:2" x14ac:dyDescent="0.25">
      <c r="A13" s="7" t="s">
        <v>137</v>
      </c>
      <c r="B13" s="8">
        <v>14</v>
      </c>
    </row>
    <row r="14" spans="1:2" x14ac:dyDescent="0.25">
      <c r="A14" s="7" t="s">
        <v>138</v>
      </c>
      <c r="B14" s="8">
        <v>9</v>
      </c>
    </row>
    <row r="15" spans="1:2" x14ac:dyDescent="0.25">
      <c r="A15" s="7" t="s">
        <v>139</v>
      </c>
      <c r="B15" s="8"/>
    </row>
    <row r="16" spans="1:2" x14ac:dyDescent="0.25">
      <c r="A16" s="7" t="s">
        <v>126</v>
      </c>
      <c r="B16" s="8">
        <v>57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F594F4-510C-4536-B147-608D9864F9D1}">
  <dimension ref="A3:B10"/>
  <sheetViews>
    <sheetView workbookViewId="0">
      <selection activeCell="M35" sqref="M35"/>
    </sheetView>
  </sheetViews>
  <sheetFormatPr defaultRowHeight="15" x14ac:dyDescent="0.25"/>
  <cols>
    <col min="1" max="1" width="13.7109375" bestFit="1" customWidth="1"/>
    <col min="2" max="2" width="15.7109375" bestFit="1" customWidth="1"/>
  </cols>
  <sheetData>
    <row r="3" spans="1:2" x14ac:dyDescent="0.25">
      <c r="A3" s="5" t="s">
        <v>125</v>
      </c>
      <c r="B3" t="s">
        <v>127</v>
      </c>
    </row>
    <row r="4" spans="1:2" x14ac:dyDescent="0.25">
      <c r="A4" s="6" t="s">
        <v>148</v>
      </c>
      <c r="B4" s="8">
        <v>7</v>
      </c>
    </row>
    <row r="5" spans="1:2" x14ac:dyDescent="0.25">
      <c r="A5" s="6" t="s">
        <v>140</v>
      </c>
      <c r="B5" s="8">
        <v>5</v>
      </c>
    </row>
    <row r="6" spans="1:2" x14ac:dyDescent="0.25">
      <c r="A6" s="6" t="s">
        <v>141</v>
      </c>
      <c r="B6" s="8">
        <v>6</v>
      </c>
    </row>
    <row r="7" spans="1:2" x14ac:dyDescent="0.25">
      <c r="A7" s="6" t="s">
        <v>142</v>
      </c>
      <c r="B7" s="8">
        <v>3</v>
      </c>
    </row>
    <row r="8" spans="1:2" x14ac:dyDescent="0.25">
      <c r="A8" s="6" t="s">
        <v>143</v>
      </c>
      <c r="B8" s="8">
        <v>13</v>
      </c>
    </row>
    <row r="9" spans="1:2" x14ac:dyDescent="0.25">
      <c r="A9" s="6" t="s">
        <v>144</v>
      </c>
      <c r="B9" s="8">
        <v>23</v>
      </c>
    </row>
    <row r="10" spans="1:2" x14ac:dyDescent="0.25">
      <c r="A10" s="6" t="s">
        <v>126</v>
      </c>
      <c r="B10" s="8">
        <v>57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EA5E6-8DAE-40AF-B777-7945439A1B3C}">
  <dimension ref="A3:B9"/>
  <sheetViews>
    <sheetView workbookViewId="0">
      <selection activeCell="F11" sqref="F11"/>
    </sheetView>
  </sheetViews>
  <sheetFormatPr defaultRowHeight="15" x14ac:dyDescent="0.25"/>
  <cols>
    <col min="1" max="1" width="69.85546875" bestFit="1" customWidth="1"/>
    <col min="2" max="2" width="17.7109375" bestFit="1" customWidth="1"/>
  </cols>
  <sheetData>
    <row r="3" spans="1:2" x14ac:dyDescent="0.25">
      <c r="A3" s="5" t="s">
        <v>125</v>
      </c>
      <c r="B3" t="s">
        <v>145</v>
      </c>
    </row>
    <row r="4" spans="1:2" x14ac:dyDescent="0.25">
      <c r="A4" s="6" t="s">
        <v>19</v>
      </c>
      <c r="B4" s="8">
        <v>5</v>
      </c>
    </row>
    <row r="5" spans="1:2" x14ac:dyDescent="0.25">
      <c r="A5" s="6" t="s">
        <v>82</v>
      </c>
      <c r="B5" s="8">
        <v>5</v>
      </c>
    </row>
    <row r="6" spans="1:2" x14ac:dyDescent="0.25">
      <c r="A6" s="6" t="s">
        <v>40</v>
      </c>
      <c r="B6" s="8">
        <v>5</v>
      </c>
    </row>
    <row r="7" spans="1:2" x14ac:dyDescent="0.25">
      <c r="A7" s="6" t="s">
        <v>39</v>
      </c>
      <c r="B7" s="8">
        <v>5</v>
      </c>
    </row>
    <row r="8" spans="1:2" x14ac:dyDescent="0.25">
      <c r="A8" s="6" t="s">
        <v>102</v>
      </c>
      <c r="B8" s="8">
        <v>5</v>
      </c>
    </row>
    <row r="9" spans="1:2" x14ac:dyDescent="0.25">
      <c r="A9" s="6" t="s">
        <v>126</v>
      </c>
      <c r="B9" s="8">
        <v>5</v>
      </c>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41AAC-40D2-472A-8ACB-EE226BCB318B}">
  <dimension ref="A3:B9"/>
  <sheetViews>
    <sheetView workbookViewId="0">
      <selection activeCell="B16" sqref="B16"/>
    </sheetView>
  </sheetViews>
  <sheetFormatPr defaultRowHeight="15" x14ac:dyDescent="0.25"/>
  <cols>
    <col min="1" max="1" width="72.140625" bestFit="1" customWidth="1"/>
    <col min="2" max="2" width="17.7109375" bestFit="1" customWidth="1"/>
  </cols>
  <sheetData>
    <row r="3" spans="1:2" x14ac:dyDescent="0.25">
      <c r="A3" s="5" t="s">
        <v>125</v>
      </c>
      <c r="B3" t="s">
        <v>145</v>
      </c>
    </row>
    <row r="4" spans="1:2" x14ac:dyDescent="0.25">
      <c r="A4" s="6" t="s">
        <v>64</v>
      </c>
      <c r="B4" s="8">
        <v>2.1</v>
      </c>
    </row>
    <row r="5" spans="1:2" x14ac:dyDescent="0.25">
      <c r="A5" s="6" t="s">
        <v>75</v>
      </c>
      <c r="B5" s="8">
        <v>2.2000000000000002</v>
      </c>
    </row>
    <row r="6" spans="1:2" x14ac:dyDescent="0.25">
      <c r="A6" s="6" t="s">
        <v>68</v>
      </c>
      <c r="B6" s="8">
        <v>2.2000000000000002</v>
      </c>
    </row>
    <row r="7" spans="1:2" x14ac:dyDescent="0.25">
      <c r="A7" s="6" t="s">
        <v>76</v>
      </c>
      <c r="B7" s="8">
        <v>2.1</v>
      </c>
    </row>
    <row r="8" spans="1:2" x14ac:dyDescent="0.25">
      <c r="A8" s="6" t="s">
        <v>111</v>
      </c>
      <c r="B8" s="8">
        <v>2</v>
      </c>
    </row>
    <row r="9" spans="1:2" x14ac:dyDescent="0.25">
      <c r="A9" s="6" t="s">
        <v>126</v>
      </c>
      <c r="B9" s="8">
        <v>2.12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EF645-70F0-434D-9544-5A73446C4CDF}">
  <dimension ref="A3:B14"/>
  <sheetViews>
    <sheetView topLeftCell="P1" workbookViewId="0">
      <selection activeCell="D19" sqref="D19"/>
    </sheetView>
  </sheetViews>
  <sheetFormatPr defaultRowHeight="15" x14ac:dyDescent="0.25"/>
  <cols>
    <col min="1" max="1" width="74" bestFit="1" customWidth="1"/>
    <col min="2" max="2" width="15.42578125" bestFit="1" customWidth="1"/>
    <col min="3" max="3" width="14.28515625" bestFit="1" customWidth="1"/>
  </cols>
  <sheetData>
    <row r="3" spans="1:2" x14ac:dyDescent="0.25">
      <c r="A3" s="5" t="s">
        <v>125</v>
      </c>
      <c r="B3" t="s">
        <v>146</v>
      </c>
    </row>
    <row r="4" spans="1:2" x14ac:dyDescent="0.25">
      <c r="A4" s="6" t="s">
        <v>24</v>
      </c>
      <c r="B4" s="8">
        <v>0.53</v>
      </c>
    </row>
    <row r="5" spans="1:2" x14ac:dyDescent="0.25">
      <c r="A5" s="6" t="s">
        <v>64</v>
      </c>
      <c r="B5" s="8">
        <v>0.55000000000000004</v>
      </c>
    </row>
    <row r="6" spans="1:2" x14ac:dyDescent="0.25">
      <c r="A6" s="6" t="s">
        <v>110</v>
      </c>
      <c r="B6" s="8">
        <v>0.64</v>
      </c>
    </row>
    <row r="7" spans="1:2" x14ac:dyDescent="0.25">
      <c r="A7" s="6" t="s">
        <v>40</v>
      </c>
      <c r="B7" s="8">
        <v>0.53</v>
      </c>
    </row>
    <row r="8" spans="1:2" x14ac:dyDescent="0.25">
      <c r="A8" s="6" t="s">
        <v>52</v>
      </c>
      <c r="B8" s="8">
        <v>0.61</v>
      </c>
    </row>
    <row r="9" spans="1:2" x14ac:dyDescent="0.25">
      <c r="A9" s="6" t="s">
        <v>34</v>
      </c>
      <c r="B9" s="8">
        <v>0.52</v>
      </c>
    </row>
    <row r="10" spans="1:2" x14ac:dyDescent="0.25">
      <c r="A10" s="6" t="s">
        <v>28</v>
      </c>
      <c r="B10" s="8">
        <v>0.54</v>
      </c>
    </row>
    <row r="11" spans="1:2" x14ac:dyDescent="0.25">
      <c r="A11" s="6" t="s">
        <v>12</v>
      </c>
      <c r="B11" s="8">
        <v>0.55000000000000004</v>
      </c>
    </row>
    <row r="12" spans="1:2" x14ac:dyDescent="0.25">
      <c r="A12" s="6" t="s">
        <v>63</v>
      </c>
      <c r="B12" s="8">
        <v>0.54</v>
      </c>
    </row>
    <row r="13" spans="1:2" x14ac:dyDescent="0.25">
      <c r="A13" s="6" t="s">
        <v>58</v>
      </c>
      <c r="B13" s="8">
        <v>0.55000000000000004</v>
      </c>
    </row>
    <row r="14" spans="1:2" x14ac:dyDescent="0.25">
      <c r="A14" s="6" t="s">
        <v>126</v>
      </c>
      <c r="B14" s="8">
        <v>0.64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AC290-D52E-4CD0-8A1D-FCA027B03221}">
  <dimension ref="A3:B14"/>
  <sheetViews>
    <sheetView workbookViewId="0">
      <selection activeCell="I33" sqref="I33"/>
    </sheetView>
  </sheetViews>
  <sheetFormatPr defaultRowHeight="15" x14ac:dyDescent="0.25"/>
  <cols>
    <col min="1" max="1" width="66" bestFit="1" customWidth="1"/>
    <col min="2" max="2" width="14.28515625" bestFit="1" customWidth="1"/>
  </cols>
  <sheetData>
    <row r="3" spans="1:2" x14ac:dyDescent="0.25">
      <c r="A3" s="5" t="s">
        <v>125</v>
      </c>
      <c r="B3" t="s">
        <v>147</v>
      </c>
    </row>
    <row r="4" spans="1:2" x14ac:dyDescent="0.25">
      <c r="A4" s="6" t="s">
        <v>65</v>
      </c>
      <c r="B4" s="8">
        <v>69</v>
      </c>
    </row>
    <row r="5" spans="1:2" x14ac:dyDescent="0.25">
      <c r="A5" s="6" t="s">
        <v>10</v>
      </c>
      <c r="B5" s="8">
        <v>55</v>
      </c>
    </row>
    <row r="6" spans="1:2" x14ac:dyDescent="0.25">
      <c r="A6" s="6" t="s">
        <v>29</v>
      </c>
      <c r="B6" s="8">
        <v>49</v>
      </c>
    </row>
    <row r="7" spans="1:2" x14ac:dyDescent="0.25">
      <c r="A7" s="6" t="s">
        <v>23</v>
      </c>
      <c r="B7" s="8">
        <v>44</v>
      </c>
    </row>
    <row r="8" spans="1:2" x14ac:dyDescent="0.25">
      <c r="A8" s="6" t="s">
        <v>15</v>
      </c>
      <c r="B8" s="8">
        <v>39</v>
      </c>
    </row>
    <row r="9" spans="1:2" x14ac:dyDescent="0.25">
      <c r="A9" s="6" t="s">
        <v>41</v>
      </c>
      <c r="B9" s="8">
        <v>36</v>
      </c>
    </row>
    <row r="10" spans="1:2" x14ac:dyDescent="0.25">
      <c r="A10" s="6" t="s">
        <v>38</v>
      </c>
      <c r="B10" s="8">
        <v>32</v>
      </c>
    </row>
    <row r="11" spans="1:2" x14ac:dyDescent="0.25">
      <c r="A11" s="6" t="s">
        <v>6</v>
      </c>
      <c r="B11" s="8">
        <v>24</v>
      </c>
    </row>
    <row r="12" spans="1:2" x14ac:dyDescent="0.25">
      <c r="A12" s="6" t="s">
        <v>37</v>
      </c>
      <c r="B12" s="8">
        <v>20</v>
      </c>
    </row>
    <row r="13" spans="1:2" x14ac:dyDescent="0.25">
      <c r="A13" s="6" t="s">
        <v>32</v>
      </c>
      <c r="B13" s="8">
        <v>20</v>
      </c>
    </row>
    <row r="14" spans="1:2" x14ac:dyDescent="0.25">
      <c r="A14" s="6" t="s">
        <v>126</v>
      </c>
      <c r="B14" s="8">
        <v>69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9DE24F-2E0E-4182-975C-22BAD55E494B}">
  <dimension ref="A1"/>
  <sheetViews>
    <sheetView topLeftCell="A10"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167FE-D00D-4FB3-96E0-654E5DBCCE13}">
  <dimension ref="A3:F8"/>
  <sheetViews>
    <sheetView topLeftCell="C1" workbookViewId="0">
      <selection activeCell="F7" sqref="F7"/>
    </sheetView>
  </sheetViews>
  <sheetFormatPr defaultRowHeight="15" x14ac:dyDescent="0.25"/>
  <cols>
    <col min="1" max="1" width="16.7109375" bestFit="1" customWidth="1"/>
    <col min="2" max="2" width="16.28515625" bestFit="1" customWidth="1"/>
    <col min="3" max="3" width="8.28515625" bestFit="1" customWidth="1"/>
    <col min="4" max="4" width="9.140625" bestFit="1" customWidth="1"/>
    <col min="5" max="5" width="5.140625" bestFit="1" customWidth="1"/>
    <col min="6" max="7" width="11.28515625" bestFit="1" customWidth="1"/>
    <col min="8" max="8" width="36.140625" bestFit="1" customWidth="1"/>
    <col min="9" max="9" width="49.85546875" bestFit="1" customWidth="1"/>
    <col min="10" max="10" width="66.7109375" bestFit="1" customWidth="1"/>
    <col min="11" max="11" width="73" bestFit="1" customWidth="1"/>
    <col min="12" max="12" width="11.28515625" bestFit="1" customWidth="1"/>
    <col min="13" max="13" width="34.28515625" bestFit="1" customWidth="1"/>
    <col min="14" max="14" width="64.85546875" bestFit="1" customWidth="1"/>
    <col min="15" max="15" width="71.140625" bestFit="1" customWidth="1"/>
    <col min="16" max="16" width="50.140625" bestFit="1" customWidth="1"/>
    <col min="17" max="17" width="53.85546875" bestFit="1" customWidth="1"/>
    <col min="18" max="18" width="53.42578125" bestFit="1" customWidth="1"/>
    <col min="19" max="19" width="38.5703125" bestFit="1" customWidth="1"/>
    <col min="20" max="20" width="27.85546875" bestFit="1" customWidth="1"/>
    <col min="21" max="21" width="74.28515625" bestFit="1" customWidth="1"/>
    <col min="22" max="22" width="68.28515625" bestFit="1" customWidth="1"/>
    <col min="23" max="23" width="52.85546875" bestFit="1" customWidth="1"/>
    <col min="24" max="24" width="51.7109375" bestFit="1" customWidth="1"/>
    <col min="25" max="25" width="30.85546875" bestFit="1" customWidth="1"/>
    <col min="26" max="26" width="48" bestFit="1" customWidth="1"/>
    <col min="27" max="27" width="48.7109375" bestFit="1" customWidth="1"/>
    <col min="28" max="28" width="37" bestFit="1" customWidth="1"/>
    <col min="29" max="29" width="56.140625" bestFit="1" customWidth="1"/>
    <col min="30" max="30" width="56.42578125" bestFit="1" customWidth="1"/>
    <col min="31" max="31" width="52" bestFit="1" customWidth="1"/>
    <col min="32" max="32" width="40.85546875" bestFit="1" customWidth="1"/>
    <col min="33" max="33" width="11.28515625" bestFit="1" customWidth="1"/>
  </cols>
  <sheetData>
    <row r="3" spans="1:6" x14ac:dyDescent="0.25">
      <c r="A3" s="5" t="s">
        <v>153</v>
      </c>
      <c r="B3" s="5" t="s">
        <v>150</v>
      </c>
    </row>
    <row r="4" spans="1:6" x14ac:dyDescent="0.25">
      <c r="A4" s="5" t="s">
        <v>125</v>
      </c>
      <c r="C4" t="s">
        <v>151</v>
      </c>
      <c r="D4" t="s">
        <v>152</v>
      </c>
      <c r="E4" t="s">
        <v>117</v>
      </c>
      <c r="F4" t="s">
        <v>126</v>
      </c>
    </row>
    <row r="5" spans="1:6" x14ac:dyDescent="0.25">
      <c r="A5" s="6" t="s">
        <v>154</v>
      </c>
      <c r="B5" s="8">
        <v>9</v>
      </c>
      <c r="C5" s="8">
        <v>11</v>
      </c>
      <c r="D5" s="8">
        <v>9</v>
      </c>
      <c r="E5" s="8">
        <v>1</v>
      </c>
      <c r="F5" s="8">
        <v>30</v>
      </c>
    </row>
    <row r="6" spans="1:6" x14ac:dyDescent="0.25">
      <c r="A6" s="6" t="s">
        <v>155</v>
      </c>
      <c r="B6" s="8">
        <v>1</v>
      </c>
      <c r="C6" s="8">
        <v>2</v>
      </c>
      <c r="D6" s="8">
        <v>1</v>
      </c>
      <c r="E6" s="8"/>
      <c r="F6" s="8">
        <v>4</v>
      </c>
    </row>
    <row r="7" spans="1:6" x14ac:dyDescent="0.25">
      <c r="A7" s="6" t="s">
        <v>156</v>
      </c>
      <c r="B7" s="8">
        <v>1</v>
      </c>
      <c r="C7" s="8">
        <v>9</v>
      </c>
      <c r="D7" s="8">
        <v>13</v>
      </c>
      <c r="E7" s="8"/>
      <c r="F7" s="8">
        <v>23</v>
      </c>
    </row>
    <row r="8" spans="1:6" x14ac:dyDescent="0.25">
      <c r="A8" s="6" t="s">
        <v>126</v>
      </c>
      <c r="B8" s="8">
        <v>11</v>
      </c>
      <c r="C8" s="8">
        <v>22</v>
      </c>
      <c r="D8" s="8">
        <v>23</v>
      </c>
      <c r="E8" s="8">
        <v>1</v>
      </c>
      <c r="F8" s="8">
        <v>57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90BE2-A004-4C8C-AC67-0DDC848BEF30}">
  <dimension ref="A1:I123"/>
  <sheetViews>
    <sheetView tabSelected="1" workbookViewId="0">
      <pane ySplit="1" topLeftCell="A96" activePane="bottomLeft" state="frozen"/>
      <selection activeCell="B1" sqref="B1"/>
      <selection pane="bottomLeft" activeCell="F125" sqref="F125"/>
    </sheetView>
  </sheetViews>
  <sheetFormatPr defaultRowHeight="15" x14ac:dyDescent="0.25"/>
  <cols>
    <col min="1" max="1" width="74" customWidth="1"/>
    <col min="2" max="2" width="19.85546875" style="2" customWidth="1"/>
    <col min="3" max="3" width="16.85546875" style="2" customWidth="1"/>
    <col min="4" max="4" width="13.42578125" style="1" customWidth="1"/>
    <col min="5" max="5" width="11.140625" customWidth="1"/>
    <col min="6" max="6" width="14.85546875" customWidth="1"/>
    <col min="7" max="7" width="19.42578125" customWidth="1"/>
    <col min="8" max="8" width="18.28515625" customWidth="1"/>
    <col min="9" max="9" width="16" customWidth="1"/>
  </cols>
  <sheetData>
    <row r="1" spans="1:9" x14ac:dyDescent="0.25">
      <c r="A1" t="s">
        <v>0</v>
      </c>
      <c r="B1" s="2" t="s">
        <v>1</v>
      </c>
      <c r="C1" s="2" t="s">
        <v>114</v>
      </c>
      <c r="D1" s="1" t="s">
        <v>2</v>
      </c>
      <c r="E1" s="3" t="s">
        <v>3</v>
      </c>
      <c r="F1" s="3" t="s">
        <v>113</v>
      </c>
      <c r="G1" t="s">
        <v>115</v>
      </c>
      <c r="H1" t="s">
        <v>116</v>
      </c>
      <c r="I1" t="s">
        <v>149</v>
      </c>
    </row>
    <row r="2" spans="1:9" x14ac:dyDescent="0.25">
      <c r="A2" t="s">
        <v>4</v>
      </c>
      <c r="B2" s="2">
        <v>950</v>
      </c>
      <c r="C2" s="2">
        <v>1525</v>
      </c>
      <c r="D2" s="1">
        <v>0.38</v>
      </c>
      <c r="E2">
        <v>2</v>
      </c>
      <c r="F2">
        <v>4.5</v>
      </c>
      <c r="G2" s="2">
        <f>C2-B2</f>
        <v>575</v>
      </c>
      <c r="H2" t="str">
        <f t="shared" ref="H2:H33" si="0">IF(F2=" "," ",IF(F2&lt;3,"",IF(F2&lt;4.5,"Average","Excellent")))</f>
        <v>Excellent</v>
      </c>
      <c r="I2" t="str">
        <f>IF(D2&lt;20%,"Low Discount",IF(D2&gt;40%,"High Discount","Medium Discount"))</f>
        <v>Medium Discount</v>
      </c>
    </row>
    <row r="3" spans="1:9" x14ac:dyDescent="0.25">
      <c r="A3" t="s">
        <v>5</v>
      </c>
      <c r="B3" s="2">
        <v>527</v>
      </c>
      <c r="C3" s="2">
        <v>999</v>
      </c>
      <c r="D3" s="1">
        <v>0.47</v>
      </c>
      <c r="E3">
        <v>14</v>
      </c>
      <c r="F3">
        <v>4.0999999999999996</v>
      </c>
      <c r="G3" s="2">
        <f t="shared" ref="G3:G66" si="1">C3-B3</f>
        <v>472</v>
      </c>
      <c r="H3" t="str">
        <f t="shared" si="0"/>
        <v>Average</v>
      </c>
      <c r="I3" t="str">
        <f t="shared" ref="I3:I66" si="2">IF(D3&lt;20%,"Low Discount",IF(D3&gt;40%,"High Discount","Medium Discount"))</f>
        <v>High Discount</v>
      </c>
    </row>
    <row r="4" spans="1:9" x14ac:dyDescent="0.25">
      <c r="A4" t="s">
        <v>6</v>
      </c>
      <c r="B4" s="2">
        <v>2199</v>
      </c>
      <c r="C4" s="2">
        <v>2923</v>
      </c>
      <c r="D4" s="1">
        <v>0.25</v>
      </c>
      <c r="E4">
        <v>24</v>
      </c>
      <c r="F4">
        <v>4.5999999999999996</v>
      </c>
      <c r="G4" s="2">
        <f t="shared" si="1"/>
        <v>724</v>
      </c>
      <c r="H4" t="str">
        <f t="shared" si="0"/>
        <v>Excellent</v>
      </c>
      <c r="I4" t="str">
        <f t="shared" si="2"/>
        <v>Medium Discount</v>
      </c>
    </row>
    <row r="5" spans="1:9" x14ac:dyDescent="0.25">
      <c r="A5" t="s">
        <v>7</v>
      </c>
      <c r="B5" s="2">
        <v>1580</v>
      </c>
      <c r="C5" s="2">
        <v>2499</v>
      </c>
      <c r="D5" s="1">
        <v>0.37</v>
      </c>
      <c r="E5">
        <v>7</v>
      </c>
      <c r="F5">
        <v>4.7</v>
      </c>
      <c r="G5" s="2">
        <f t="shared" si="1"/>
        <v>919</v>
      </c>
      <c r="H5" t="str">
        <f t="shared" si="0"/>
        <v>Excellent</v>
      </c>
      <c r="I5" t="str">
        <f t="shared" si="2"/>
        <v>Medium Discount</v>
      </c>
    </row>
    <row r="6" spans="1:9" x14ac:dyDescent="0.25">
      <c r="A6" t="s">
        <v>8</v>
      </c>
      <c r="B6" s="2">
        <v>1740</v>
      </c>
      <c r="C6" s="2">
        <v>2356</v>
      </c>
      <c r="D6" s="1">
        <v>0.26</v>
      </c>
      <c r="E6">
        <v>5</v>
      </c>
      <c r="F6">
        <v>4.8</v>
      </c>
      <c r="G6" s="2">
        <f t="shared" si="1"/>
        <v>616</v>
      </c>
      <c r="H6" t="str">
        <f t="shared" si="0"/>
        <v>Excellent</v>
      </c>
      <c r="I6" t="str">
        <f t="shared" si="2"/>
        <v>Medium Discount</v>
      </c>
    </row>
    <row r="7" spans="1:9" x14ac:dyDescent="0.25">
      <c r="A7" t="s">
        <v>9</v>
      </c>
      <c r="B7" s="2">
        <v>2999</v>
      </c>
      <c r="C7" s="2">
        <v>3290</v>
      </c>
      <c r="D7" s="1">
        <v>0.09</v>
      </c>
      <c r="E7">
        <v>15</v>
      </c>
      <c r="F7">
        <v>4</v>
      </c>
      <c r="G7" s="2">
        <f t="shared" si="1"/>
        <v>291</v>
      </c>
      <c r="H7" t="str">
        <f t="shared" si="0"/>
        <v>Average</v>
      </c>
      <c r="I7" t="str">
        <f t="shared" si="2"/>
        <v>Low Discount</v>
      </c>
    </row>
    <row r="8" spans="1:9" x14ac:dyDescent="0.25">
      <c r="A8" t="s">
        <v>10</v>
      </c>
      <c r="B8" s="2">
        <v>2319</v>
      </c>
      <c r="C8" s="2">
        <v>3032</v>
      </c>
      <c r="D8" s="1">
        <v>0.24</v>
      </c>
      <c r="E8">
        <v>55</v>
      </c>
      <c r="F8">
        <v>4.5999999999999996</v>
      </c>
      <c r="G8" s="2">
        <f t="shared" si="1"/>
        <v>713</v>
      </c>
      <c r="H8" t="str">
        <f t="shared" si="0"/>
        <v>Excellent</v>
      </c>
      <c r="I8" t="str">
        <f t="shared" si="2"/>
        <v>Medium Discount</v>
      </c>
    </row>
    <row r="9" spans="1:9" x14ac:dyDescent="0.25">
      <c r="A9" t="s">
        <v>11</v>
      </c>
      <c r="B9" s="2">
        <v>988</v>
      </c>
      <c r="C9" s="2">
        <v>1580</v>
      </c>
      <c r="D9" s="1">
        <v>0.37</v>
      </c>
      <c r="E9">
        <v>2</v>
      </c>
      <c r="F9">
        <v>4</v>
      </c>
      <c r="G9" s="2">
        <f t="shared" si="1"/>
        <v>592</v>
      </c>
      <c r="H9" t="str">
        <f t="shared" si="0"/>
        <v>Average</v>
      </c>
      <c r="I9" t="str">
        <f t="shared" si="2"/>
        <v>Medium Discount</v>
      </c>
    </row>
    <row r="10" spans="1:9" x14ac:dyDescent="0.25">
      <c r="A10" t="s">
        <v>12</v>
      </c>
      <c r="B10" s="2">
        <v>1274</v>
      </c>
      <c r="C10" s="2">
        <v>2800</v>
      </c>
      <c r="D10" s="1">
        <v>0.55000000000000004</v>
      </c>
      <c r="E10">
        <v>5</v>
      </c>
      <c r="F10">
        <v>4.8</v>
      </c>
      <c r="G10" s="2">
        <f t="shared" si="1"/>
        <v>1526</v>
      </c>
      <c r="H10" t="str">
        <f t="shared" si="0"/>
        <v>Excellent</v>
      </c>
      <c r="I10" t="str">
        <f t="shared" si="2"/>
        <v>High Discount</v>
      </c>
    </row>
    <row r="11" spans="1:9" x14ac:dyDescent="0.25">
      <c r="A11" t="s">
        <v>13</v>
      </c>
      <c r="B11" s="2">
        <v>1600</v>
      </c>
      <c r="C11" s="2">
        <v>2929</v>
      </c>
      <c r="D11" s="1">
        <v>0.45</v>
      </c>
      <c r="E11">
        <v>5</v>
      </c>
      <c r="F11">
        <v>3.8</v>
      </c>
      <c r="G11" s="2">
        <f t="shared" si="1"/>
        <v>1329</v>
      </c>
      <c r="H11" t="str">
        <f t="shared" si="0"/>
        <v>Average</v>
      </c>
      <c r="I11" t="str">
        <f t="shared" si="2"/>
        <v>High Discount</v>
      </c>
    </row>
    <row r="12" spans="1:9" x14ac:dyDescent="0.25">
      <c r="A12" t="s">
        <v>14</v>
      </c>
      <c r="B12" s="2">
        <v>799</v>
      </c>
      <c r="C12" s="2">
        <v>999</v>
      </c>
      <c r="D12" s="1">
        <v>0.2</v>
      </c>
      <c r="E12">
        <v>12</v>
      </c>
      <c r="F12">
        <v>4.0999999999999996</v>
      </c>
      <c r="G12" s="2">
        <f t="shared" si="1"/>
        <v>200</v>
      </c>
      <c r="H12" t="str">
        <f t="shared" si="0"/>
        <v>Average</v>
      </c>
      <c r="I12" t="str">
        <f t="shared" si="2"/>
        <v>Medium Discount</v>
      </c>
    </row>
    <row r="13" spans="1:9" x14ac:dyDescent="0.25">
      <c r="A13" t="s">
        <v>15</v>
      </c>
      <c r="B13" s="2">
        <v>990</v>
      </c>
      <c r="C13" s="2">
        <v>1500</v>
      </c>
      <c r="D13" s="1">
        <v>0.34</v>
      </c>
      <c r="E13">
        <v>39</v>
      </c>
      <c r="F13">
        <v>4.7</v>
      </c>
      <c r="G13" s="2">
        <f t="shared" si="1"/>
        <v>510</v>
      </c>
      <c r="H13" t="str">
        <f t="shared" si="0"/>
        <v>Excellent</v>
      </c>
      <c r="I13" t="str">
        <f t="shared" si="2"/>
        <v>Medium Discount</v>
      </c>
    </row>
    <row r="14" spans="1:9" x14ac:dyDescent="0.25">
      <c r="A14" t="s">
        <v>16</v>
      </c>
      <c r="B14" s="2">
        <v>552</v>
      </c>
      <c r="C14" s="2">
        <v>1035</v>
      </c>
      <c r="D14" s="1">
        <v>0.47</v>
      </c>
      <c r="E14">
        <v>12</v>
      </c>
      <c r="F14">
        <v>4.8</v>
      </c>
      <c r="G14" s="2">
        <f t="shared" si="1"/>
        <v>483</v>
      </c>
      <c r="H14" t="str">
        <f t="shared" si="0"/>
        <v>Excellent</v>
      </c>
      <c r="I14" t="str">
        <f t="shared" si="2"/>
        <v>High Discount</v>
      </c>
    </row>
    <row r="15" spans="1:9" x14ac:dyDescent="0.25">
      <c r="A15" t="s">
        <v>17</v>
      </c>
      <c r="B15" s="2">
        <v>501</v>
      </c>
      <c r="C15" s="2">
        <v>860</v>
      </c>
      <c r="D15" s="1">
        <v>0.42</v>
      </c>
      <c r="E15">
        <v>6</v>
      </c>
      <c r="F15">
        <v>4.5</v>
      </c>
      <c r="G15" s="2">
        <f t="shared" si="1"/>
        <v>359</v>
      </c>
      <c r="H15" t="str">
        <f t="shared" si="0"/>
        <v>Excellent</v>
      </c>
      <c r="I15" t="str">
        <f t="shared" si="2"/>
        <v>High Discount</v>
      </c>
    </row>
    <row r="16" spans="1:9" x14ac:dyDescent="0.25">
      <c r="A16" t="s">
        <v>18</v>
      </c>
      <c r="B16" s="2">
        <v>1680</v>
      </c>
      <c r="C16" s="2">
        <v>2499</v>
      </c>
      <c r="D16" s="1">
        <v>0.33</v>
      </c>
      <c r="E16">
        <v>9</v>
      </c>
      <c r="F16">
        <v>4.2</v>
      </c>
      <c r="G16" s="2">
        <f t="shared" si="1"/>
        <v>819</v>
      </c>
      <c r="H16" t="str">
        <f t="shared" si="0"/>
        <v>Average</v>
      </c>
      <c r="I16" t="str">
        <f t="shared" si="2"/>
        <v>Medium Discount</v>
      </c>
    </row>
    <row r="17" spans="1:9" x14ac:dyDescent="0.25">
      <c r="A17" t="s">
        <v>19</v>
      </c>
      <c r="B17" s="2">
        <v>332</v>
      </c>
      <c r="C17" s="2">
        <v>684</v>
      </c>
      <c r="D17" s="1">
        <v>0.51</v>
      </c>
      <c r="E17">
        <v>2</v>
      </c>
      <c r="F17">
        <v>5</v>
      </c>
      <c r="G17" s="2">
        <f t="shared" si="1"/>
        <v>352</v>
      </c>
      <c r="H17" t="str">
        <f t="shared" si="0"/>
        <v>Excellent</v>
      </c>
      <c r="I17" t="str">
        <f t="shared" si="2"/>
        <v>High Discount</v>
      </c>
    </row>
    <row r="18" spans="1:9" x14ac:dyDescent="0.25">
      <c r="A18" t="s">
        <v>20</v>
      </c>
      <c r="B18" s="2">
        <v>195</v>
      </c>
      <c r="C18" s="2">
        <v>360</v>
      </c>
      <c r="D18" s="1">
        <v>0.46</v>
      </c>
      <c r="E18">
        <v>2</v>
      </c>
      <c r="F18">
        <v>5</v>
      </c>
      <c r="G18" s="2">
        <f t="shared" si="1"/>
        <v>165</v>
      </c>
      <c r="H18" t="str">
        <f t="shared" si="0"/>
        <v>Excellent</v>
      </c>
      <c r="I18" t="str">
        <f t="shared" si="2"/>
        <v>High Discount</v>
      </c>
    </row>
    <row r="19" spans="1:9" x14ac:dyDescent="0.25">
      <c r="A19" t="s">
        <v>21</v>
      </c>
      <c r="B19" s="2">
        <v>2025</v>
      </c>
      <c r="C19" s="2">
        <v>3971</v>
      </c>
      <c r="D19" s="1">
        <v>0.49</v>
      </c>
      <c r="E19">
        <v>3</v>
      </c>
      <c r="F19">
        <v>5</v>
      </c>
      <c r="G19" s="2">
        <f t="shared" si="1"/>
        <v>1946</v>
      </c>
      <c r="H19" t="str">
        <f t="shared" si="0"/>
        <v>Excellent</v>
      </c>
      <c r="I19" t="str">
        <f t="shared" si="2"/>
        <v>High Discount</v>
      </c>
    </row>
    <row r="20" spans="1:9" x14ac:dyDescent="0.25">
      <c r="A20" t="s">
        <v>22</v>
      </c>
      <c r="B20" s="2">
        <v>2999</v>
      </c>
      <c r="C20" s="2">
        <v>3699</v>
      </c>
      <c r="D20" s="1">
        <v>0.19</v>
      </c>
      <c r="E20">
        <v>5</v>
      </c>
      <c r="F20">
        <v>4.5999999999999996</v>
      </c>
      <c r="G20" s="2">
        <f t="shared" si="1"/>
        <v>700</v>
      </c>
      <c r="H20" t="str">
        <f t="shared" si="0"/>
        <v>Excellent</v>
      </c>
      <c r="I20" t="str">
        <f t="shared" si="2"/>
        <v>Low Discount</v>
      </c>
    </row>
    <row r="21" spans="1:9" x14ac:dyDescent="0.25">
      <c r="A21" t="s">
        <v>23</v>
      </c>
      <c r="B21" s="2">
        <v>998</v>
      </c>
      <c r="C21" s="2">
        <v>1966</v>
      </c>
      <c r="D21" s="1">
        <v>0.49</v>
      </c>
      <c r="E21">
        <v>44</v>
      </c>
      <c r="F21">
        <v>4.5999999999999996</v>
      </c>
      <c r="G21" s="2">
        <f t="shared" si="1"/>
        <v>968</v>
      </c>
      <c r="H21" t="str">
        <f t="shared" si="0"/>
        <v>Excellent</v>
      </c>
      <c r="I21" t="str">
        <f t="shared" si="2"/>
        <v>High Discount</v>
      </c>
    </row>
    <row r="22" spans="1:9" x14ac:dyDescent="0.25">
      <c r="A22" t="s">
        <v>24</v>
      </c>
      <c r="B22" s="2">
        <v>38</v>
      </c>
      <c r="C22" s="2">
        <v>80</v>
      </c>
      <c r="D22" s="1">
        <v>0.53</v>
      </c>
      <c r="E22">
        <v>13</v>
      </c>
      <c r="F22">
        <v>3.3</v>
      </c>
      <c r="G22" s="2">
        <f t="shared" si="1"/>
        <v>42</v>
      </c>
      <c r="H22" t="str">
        <f t="shared" si="0"/>
        <v>Average</v>
      </c>
      <c r="I22" t="str">
        <f t="shared" si="2"/>
        <v>High Discount</v>
      </c>
    </row>
    <row r="23" spans="1:9" x14ac:dyDescent="0.25">
      <c r="A23" t="s">
        <v>25</v>
      </c>
      <c r="B23" s="2">
        <v>1860</v>
      </c>
      <c r="C23" s="2">
        <v>3220</v>
      </c>
      <c r="D23" s="1">
        <v>0.42</v>
      </c>
      <c r="G23" s="2">
        <f t="shared" si="1"/>
        <v>1360</v>
      </c>
      <c r="H23" t="str">
        <f t="shared" si="0"/>
        <v/>
      </c>
      <c r="I23" t="str">
        <f t="shared" si="2"/>
        <v>High Discount</v>
      </c>
    </row>
    <row r="24" spans="1:9" x14ac:dyDescent="0.25">
      <c r="A24" t="s">
        <v>26</v>
      </c>
      <c r="B24" s="2">
        <v>880</v>
      </c>
      <c r="C24" s="2">
        <v>1350</v>
      </c>
      <c r="D24" s="1">
        <v>0.35</v>
      </c>
      <c r="E24">
        <v>6</v>
      </c>
      <c r="F24">
        <v>4</v>
      </c>
      <c r="G24" s="2">
        <f t="shared" si="1"/>
        <v>470</v>
      </c>
      <c r="H24" t="str">
        <f t="shared" si="0"/>
        <v>Average</v>
      </c>
      <c r="I24" t="str">
        <f t="shared" si="2"/>
        <v>Medium Discount</v>
      </c>
    </row>
    <row r="25" spans="1:9" x14ac:dyDescent="0.25">
      <c r="A25" t="s">
        <v>27</v>
      </c>
      <c r="B25" s="2">
        <v>1650</v>
      </c>
      <c r="C25" s="2">
        <v>2150</v>
      </c>
      <c r="D25" s="1">
        <v>0.23</v>
      </c>
      <c r="E25">
        <v>14</v>
      </c>
      <c r="F25">
        <v>4.4000000000000004</v>
      </c>
      <c r="G25" s="2">
        <f t="shared" si="1"/>
        <v>500</v>
      </c>
      <c r="H25" t="str">
        <f t="shared" si="0"/>
        <v>Average</v>
      </c>
      <c r="I25" t="str">
        <f t="shared" si="2"/>
        <v>Medium Discount</v>
      </c>
    </row>
    <row r="26" spans="1:9" x14ac:dyDescent="0.25">
      <c r="A26" t="s">
        <v>28</v>
      </c>
      <c r="B26" s="2">
        <v>2048</v>
      </c>
      <c r="C26" s="2">
        <v>4500</v>
      </c>
      <c r="D26" s="1">
        <v>0.54</v>
      </c>
      <c r="E26">
        <v>7</v>
      </c>
      <c r="F26">
        <v>4.3</v>
      </c>
      <c r="G26" s="2">
        <f t="shared" si="1"/>
        <v>2452</v>
      </c>
      <c r="H26" t="str">
        <f t="shared" si="0"/>
        <v>Average</v>
      </c>
      <c r="I26" t="str">
        <f t="shared" si="2"/>
        <v>High Discount</v>
      </c>
    </row>
    <row r="27" spans="1:9" x14ac:dyDescent="0.25">
      <c r="A27" t="s">
        <v>29</v>
      </c>
      <c r="B27" s="2">
        <v>420</v>
      </c>
      <c r="C27" s="2">
        <v>647</v>
      </c>
      <c r="D27" s="1">
        <v>0.35</v>
      </c>
      <c r="E27">
        <v>49</v>
      </c>
      <c r="F27">
        <v>4.5999999999999996</v>
      </c>
      <c r="G27" s="2">
        <f t="shared" si="1"/>
        <v>227</v>
      </c>
      <c r="H27" t="str">
        <f t="shared" si="0"/>
        <v>Excellent</v>
      </c>
      <c r="I27" t="str">
        <f t="shared" si="2"/>
        <v>Medium Discount</v>
      </c>
    </row>
    <row r="28" spans="1:9" x14ac:dyDescent="0.25">
      <c r="A28" t="s">
        <v>30</v>
      </c>
      <c r="B28" s="2">
        <v>2880</v>
      </c>
      <c r="C28" s="2">
        <v>3520</v>
      </c>
      <c r="D28" s="1">
        <v>0.18</v>
      </c>
      <c r="E28">
        <v>12</v>
      </c>
      <c r="F28">
        <v>3.8</v>
      </c>
      <c r="G28" s="2">
        <f t="shared" si="1"/>
        <v>640</v>
      </c>
      <c r="H28" t="str">
        <f t="shared" si="0"/>
        <v>Average</v>
      </c>
      <c r="I28" t="str">
        <f t="shared" si="2"/>
        <v>Low Discount</v>
      </c>
    </row>
    <row r="29" spans="1:9" x14ac:dyDescent="0.25">
      <c r="A29" t="s">
        <v>31</v>
      </c>
      <c r="B29" s="2">
        <v>1350</v>
      </c>
      <c r="C29" s="2">
        <v>1990</v>
      </c>
      <c r="D29" s="1">
        <v>0.32</v>
      </c>
      <c r="E29">
        <v>13</v>
      </c>
      <c r="F29">
        <v>3.8</v>
      </c>
      <c r="G29" s="2">
        <f t="shared" si="1"/>
        <v>640</v>
      </c>
      <c r="H29" t="str">
        <f t="shared" si="0"/>
        <v>Average</v>
      </c>
      <c r="I29" t="str">
        <f t="shared" si="2"/>
        <v>Medium Discount</v>
      </c>
    </row>
    <row r="30" spans="1:9" x14ac:dyDescent="0.25">
      <c r="A30" t="s">
        <v>32</v>
      </c>
      <c r="B30" s="2">
        <v>1758</v>
      </c>
      <c r="C30" s="2">
        <v>2499</v>
      </c>
      <c r="D30" s="1">
        <v>0.3</v>
      </c>
      <c r="E30">
        <v>20</v>
      </c>
      <c r="F30">
        <v>4.0999999999999996</v>
      </c>
      <c r="G30" s="2">
        <f t="shared" si="1"/>
        <v>741</v>
      </c>
      <c r="H30" t="str">
        <f t="shared" si="0"/>
        <v>Average</v>
      </c>
      <c r="I30" t="str">
        <f t="shared" si="2"/>
        <v>Medium Discount</v>
      </c>
    </row>
    <row r="31" spans="1:9" x14ac:dyDescent="0.25">
      <c r="A31" t="s">
        <v>33</v>
      </c>
      <c r="B31" s="2">
        <v>2200</v>
      </c>
      <c r="C31" s="2">
        <v>4080</v>
      </c>
      <c r="D31" s="1">
        <v>0.46</v>
      </c>
      <c r="G31" s="2">
        <f t="shared" si="1"/>
        <v>1880</v>
      </c>
      <c r="H31" t="str">
        <f t="shared" si="0"/>
        <v/>
      </c>
      <c r="I31" t="str">
        <f t="shared" si="2"/>
        <v>High Discount</v>
      </c>
    </row>
    <row r="32" spans="1:9" x14ac:dyDescent="0.25">
      <c r="A32" t="s">
        <v>34</v>
      </c>
      <c r="B32" s="2">
        <v>185</v>
      </c>
      <c r="C32" s="2">
        <v>382</v>
      </c>
      <c r="D32" s="1">
        <v>0.52</v>
      </c>
      <c r="E32">
        <v>9</v>
      </c>
      <c r="F32">
        <v>4.3</v>
      </c>
      <c r="G32" s="2">
        <f t="shared" si="1"/>
        <v>197</v>
      </c>
      <c r="H32" t="str">
        <f t="shared" si="0"/>
        <v>Average</v>
      </c>
      <c r="I32" t="str">
        <f t="shared" si="2"/>
        <v>High Discount</v>
      </c>
    </row>
    <row r="33" spans="1:9" x14ac:dyDescent="0.25">
      <c r="A33" t="s">
        <v>35</v>
      </c>
      <c r="B33" s="2">
        <v>980</v>
      </c>
      <c r="C33" s="2">
        <v>1490</v>
      </c>
      <c r="D33" s="1">
        <v>0.34</v>
      </c>
      <c r="E33">
        <v>12</v>
      </c>
      <c r="F33">
        <v>4.7</v>
      </c>
      <c r="G33" s="2">
        <f t="shared" si="1"/>
        <v>510</v>
      </c>
      <c r="H33" t="str">
        <f t="shared" si="0"/>
        <v>Excellent</v>
      </c>
      <c r="I33" t="str">
        <f t="shared" si="2"/>
        <v>Medium Discount</v>
      </c>
    </row>
    <row r="34" spans="1:9" x14ac:dyDescent="0.25">
      <c r="A34" t="s">
        <v>36</v>
      </c>
      <c r="B34" s="2">
        <v>1820</v>
      </c>
      <c r="C34" s="2">
        <v>3490</v>
      </c>
      <c r="D34" s="1">
        <v>0.48</v>
      </c>
      <c r="E34">
        <v>9</v>
      </c>
      <c r="F34">
        <v>4.3</v>
      </c>
      <c r="G34" s="2">
        <f t="shared" si="1"/>
        <v>1670</v>
      </c>
      <c r="H34" t="str">
        <f t="shared" ref="H34:H65" si="3">IF(F34=" "," ",IF(F34&lt;3,"",IF(F34&lt;4.5,"Average","Excellent")))</f>
        <v>Average</v>
      </c>
      <c r="I34" t="str">
        <f t="shared" si="2"/>
        <v>High Discount</v>
      </c>
    </row>
    <row r="35" spans="1:9" x14ac:dyDescent="0.25">
      <c r="A35" t="s">
        <v>37</v>
      </c>
      <c r="B35" s="2">
        <v>1940</v>
      </c>
      <c r="C35" s="2">
        <v>2650</v>
      </c>
      <c r="D35" s="1">
        <v>0.27</v>
      </c>
      <c r="E35">
        <v>20</v>
      </c>
      <c r="F35">
        <v>4.7</v>
      </c>
      <c r="G35" s="2">
        <f t="shared" si="1"/>
        <v>710</v>
      </c>
      <c r="H35" t="str">
        <f t="shared" si="3"/>
        <v>Excellent</v>
      </c>
      <c r="I35" t="str">
        <f t="shared" si="2"/>
        <v>Medium Discount</v>
      </c>
    </row>
    <row r="36" spans="1:9" x14ac:dyDescent="0.25">
      <c r="A36" t="s">
        <v>38</v>
      </c>
      <c r="B36" s="2">
        <v>1980</v>
      </c>
      <c r="C36" s="2">
        <v>2699</v>
      </c>
      <c r="D36" s="1">
        <v>0.27</v>
      </c>
      <c r="E36">
        <v>32</v>
      </c>
      <c r="F36">
        <v>4.5</v>
      </c>
      <c r="G36" s="2">
        <f t="shared" si="1"/>
        <v>719</v>
      </c>
      <c r="H36" t="str">
        <f t="shared" si="3"/>
        <v>Excellent</v>
      </c>
      <c r="I36" t="str">
        <f t="shared" si="2"/>
        <v>Medium Discount</v>
      </c>
    </row>
    <row r="37" spans="1:9" x14ac:dyDescent="0.25">
      <c r="A37" t="s">
        <v>39</v>
      </c>
      <c r="B37" s="2">
        <v>1620</v>
      </c>
      <c r="C37" s="2">
        <v>2690</v>
      </c>
      <c r="D37" s="1">
        <v>0.4</v>
      </c>
      <c r="E37">
        <v>1</v>
      </c>
      <c r="F37">
        <v>5</v>
      </c>
      <c r="G37" s="2">
        <f t="shared" si="1"/>
        <v>1070</v>
      </c>
      <c r="H37" t="str">
        <f t="shared" si="3"/>
        <v>Excellent</v>
      </c>
      <c r="I37" t="str">
        <f t="shared" si="2"/>
        <v>Medium Discount</v>
      </c>
    </row>
    <row r="38" spans="1:9" x14ac:dyDescent="0.25">
      <c r="A38" t="s">
        <v>40</v>
      </c>
      <c r="B38" s="2">
        <v>171</v>
      </c>
      <c r="C38" s="2">
        <v>360</v>
      </c>
      <c r="D38" s="1">
        <v>0.53</v>
      </c>
      <c r="E38">
        <v>2</v>
      </c>
      <c r="F38">
        <v>5</v>
      </c>
      <c r="G38" s="2">
        <f t="shared" si="1"/>
        <v>189</v>
      </c>
      <c r="H38" t="str">
        <f t="shared" si="3"/>
        <v>Excellent</v>
      </c>
      <c r="I38" t="str">
        <f t="shared" si="2"/>
        <v>High Discount</v>
      </c>
    </row>
    <row r="39" spans="1:9" x14ac:dyDescent="0.25">
      <c r="A39" t="s">
        <v>41</v>
      </c>
      <c r="B39" s="2">
        <v>389</v>
      </c>
      <c r="C39" s="2">
        <v>656</v>
      </c>
      <c r="D39" s="1">
        <v>0.41</v>
      </c>
      <c r="E39">
        <v>36</v>
      </c>
      <c r="F39">
        <v>4.3</v>
      </c>
      <c r="G39" s="2">
        <f t="shared" si="1"/>
        <v>267</v>
      </c>
      <c r="H39" t="str">
        <f t="shared" si="3"/>
        <v>Average</v>
      </c>
      <c r="I39" t="str">
        <f t="shared" si="2"/>
        <v>High Discount</v>
      </c>
    </row>
    <row r="40" spans="1:9" x14ac:dyDescent="0.25">
      <c r="A40" t="s">
        <v>42</v>
      </c>
      <c r="B40" s="2">
        <v>1980</v>
      </c>
      <c r="C40" s="2">
        <v>3200</v>
      </c>
      <c r="D40" s="1">
        <v>0.38</v>
      </c>
      <c r="E40">
        <v>2</v>
      </c>
      <c r="F40">
        <v>4.5</v>
      </c>
      <c r="G40" s="2">
        <f t="shared" si="1"/>
        <v>1220</v>
      </c>
      <c r="H40" t="str">
        <f t="shared" si="3"/>
        <v>Excellent</v>
      </c>
      <c r="I40" t="str">
        <f t="shared" si="2"/>
        <v>Medium Discount</v>
      </c>
    </row>
    <row r="41" spans="1:9" x14ac:dyDescent="0.25">
      <c r="A41" t="s">
        <v>43</v>
      </c>
      <c r="B41" s="2">
        <v>2750</v>
      </c>
      <c r="C41" s="2">
        <v>4471</v>
      </c>
      <c r="D41" s="1">
        <v>0.38</v>
      </c>
      <c r="G41" s="2">
        <f t="shared" si="1"/>
        <v>1721</v>
      </c>
      <c r="H41" t="str">
        <f t="shared" si="3"/>
        <v/>
      </c>
      <c r="I41" t="str">
        <f t="shared" si="2"/>
        <v>Medium Discount</v>
      </c>
    </row>
    <row r="42" spans="1:9" x14ac:dyDescent="0.25">
      <c r="A42" t="s">
        <v>44</v>
      </c>
      <c r="B42" s="2">
        <v>475</v>
      </c>
      <c r="C42" s="2">
        <v>931</v>
      </c>
      <c r="D42" s="1">
        <v>0.49</v>
      </c>
      <c r="G42" s="2">
        <f t="shared" si="1"/>
        <v>456</v>
      </c>
      <c r="H42" t="str">
        <f t="shared" si="3"/>
        <v/>
      </c>
      <c r="I42" t="str">
        <f t="shared" si="2"/>
        <v>High Discount</v>
      </c>
    </row>
    <row r="43" spans="1:9" x14ac:dyDescent="0.25">
      <c r="A43" t="s">
        <v>45</v>
      </c>
      <c r="B43" s="2">
        <v>238</v>
      </c>
      <c r="C43" s="2">
        <v>476</v>
      </c>
      <c r="D43" s="1">
        <v>0.5</v>
      </c>
      <c r="G43" s="2">
        <f t="shared" si="1"/>
        <v>238</v>
      </c>
      <c r="H43" t="str">
        <f t="shared" si="3"/>
        <v/>
      </c>
      <c r="I43" t="str">
        <f t="shared" si="2"/>
        <v>High Discount</v>
      </c>
    </row>
    <row r="44" spans="1:9" x14ac:dyDescent="0.25">
      <c r="A44" t="s">
        <v>46</v>
      </c>
      <c r="B44" s="2">
        <v>610</v>
      </c>
      <c r="C44" s="2">
        <v>1060</v>
      </c>
      <c r="D44" s="1">
        <v>0.42</v>
      </c>
      <c r="G44" s="2">
        <f t="shared" si="1"/>
        <v>450</v>
      </c>
      <c r="H44" t="str">
        <f t="shared" si="3"/>
        <v/>
      </c>
      <c r="I44" t="str">
        <f t="shared" si="2"/>
        <v>High Discount</v>
      </c>
    </row>
    <row r="45" spans="1:9" x14ac:dyDescent="0.25">
      <c r="A45" t="s">
        <v>47</v>
      </c>
      <c r="B45" s="2">
        <v>2132</v>
      </c>
      <c r="C45" s="2">
        <v>2169</v>
      </c>
      <c r="D45" s="1">
        <v>0.02</v>
      </c>
      <c r="G45" s="2">
        <f t="shared" si="1"/>
        <v>37</v>
      </c>
      <c r="H45" t="str">
        <f t="shared" si="3"/>
        <v/>
      </c>
      <c r="I45" t="str">
        <f t="shared" si="2"/>
        <v>Low Discount</v>
      </c>
    </row>
    <row r="46" spans="1:9" x14ac:dyDescent="0.25">
      <c r="A46" t="s">
        <v>48</v>
      </c>
      <c r="B46" s="2">
        <v>999</v>
      </c>
      <c r="C46" s="2">
        <v>2000</v>
      </c>
      <c r="D46" s="1">
        <v>0.5</v>
      </c>
      <c r="G46" s="2">
        <f t="shared" si="1"/>
        <v>1001</v>
      </c>
      <c r="H46" t="str">
        <f t="shared" si="3"/>
        <v/>
      </c>
      <c r="I46" t="str">
        <f t="shared" si="2"/>
        <v>High Discount</v>
      </c>
    </row>
    <row r="47" spans="1:9" x14ac:dyDescent="0.25">
      <c r="A47" t="s">
        <v>49</v>
      </c>
      <c r="B47" s="2">
        <v>1190</v>
      </c>
      <c r="C47" s="2">
        <v>1785</v>
      </c>
      <c r="D47" s="1">
        <v>0.33</v>
      </c>
      <c r="G47" s="2">
        <f t="shared" si="1"/>
        <v>595</v>
      </c>
      <c r="H47" t="str">
        <f t="shared" si="3"/>
        <v/>
      </c>
      <c r="I47" t="str">
        <f t="shared" si="2"/>
        <v>Medium Discount</v>
      </c>
    </row>
    <row r="48" spans="1:9" x14ac:dyDescent="0.25">
      <c r="A48" t="s">
        <v>50</v>
      </c>
      <c r="B48" s="2">
        <v>671</v>
      </c>
      <c r="C48" s="2">
        <v>1316</v>
      </c>
      <c r="D48" s="1">
        <v>0.49</v>
      </c>
      <c r="G48" s="2">
        <f t="shared" si="1"/>
        <v>645</v>
      </c>
      <c r="H48" t="str">
        <f t="shared" si="3"/>
        <v/>
      </c>
      <c r="I48" t="str">
        <f t="shared" si="2"/>
        <v>High Discount</v>
      </c>
    </row>
    <row r="49" spans="1:9" x14ac:dyDescent="0.25">
      <c r="A49" t="s">
        <v>51</v>
      </c>
      <c r="B49" s="2">
        <v>1200</v>
      </c>
      <c r="C49" s="2">
        <v>1950</v>
      </c>
      <c r="D49" s="1">
        <v>0.38</v>
      </c>
      <c r="G49" s="2">
        <f t="shared" si="1"/>
        <v>750</v>
      </c>
      <c r="H49" t="str">
        <f t="shared" si="3"/>
        <v/>
      </c>
      <c r="I49" t="str">
        <f t="shared" si="2"/>
        <v>Medium Discount</v>
      </c>
    </row>
    <row r="50" spans="1:9" x14ac:dyDescent="0.25">
      <c r="A50" t="s">
        <v>52</v>
      </c>
      <c r="B50" s="2">
        <v>199</v>
      </c>
      <c r="C50" s="2">
        <v>504</v>
      </c>
      <c r="D50" s="1">
        <v>0.61</v>
      </c>
      <c r="G50" s="2">
        <f t="shared" si="1"/>
        <v>305</v>
      </c>
      <c r="H50" t="str">
        <f t="shared" si="3"/>
        <v/>
      </c>
      <c r="I50" t="str">
        <f t="shared" si="2"/>
        <v>High Discount</v>
      </c>
    </row>
    <row r="51" spans="1:9" x14ac:dyDescent="0.25">
      <c r="A51" t="s">
        <v>53</v>
      </c>
      <c r="B51" s="2">
        <v>299</v>
      </c>
      <c r="C51" s="2">
        <v>600</v>
      </c>
      <c r="D51" s="1">
        <v>0.5</v>
      </c>
      <c r="G51" s="2">
        <f t="shared" si="1"/>
        <v>301</v>
      </c>
      <c r="H51" t="str">
        <f t="shared" si="3"/>
        <v/>
      </c>
      <c r="I51" t="str">
        <f t="shared" si="2"/>
        <v>High Discount</v>
      </c>
    </row>
    <row r="52" spans="1:9" x14ac:dyDescent="0.25">
      <c r="A52" t="s">
        <v>54</v>
      </c>
      <c r="B52" s="2">
        <v>1660</v>
      </c>
      <c r="C52" s="2">
        <v>1699</v>
      </c>
      <c r="D52" s="1">
        <v>0.02</v>
      </c>
      <c r="G52" s="2">
        <f t="shared" si="1"/>
        <v>39</v>
      </c>
      <c r="H52" t="str">
        <f t="shared" si="3"/>
        <v/>
      </c>
      <c r="I52" t="str">
        <f t="shared" si="2"/>
        <v>Low Discount</v>
      </c>
    </row>
    <row r="53" spans="1:9" x14ac:dyDescent="0.25">
      <c r="A53" t="s">
        <v>55</v>
      </c>
      <c r="B53" s="2">
        <v>299</v>
      </c>
      <c r="C53" s="2">
        <v>384</v>
      </c>
      <c r="D53" s="1">
        <v>0.22</v>
      </c>
      <c r="G53" s="2">
        <f t="shared" si="1"/>
        <v>85</v>
      </c>
      <c r="H53" t="str">
        <f t="shared" si="3"/>
        <v/>
      </c>
      <c r="I53" t="str">
        <f t="shared" si="2"/>
        <v>Medium Discount</v>
      </c>
    </row>
    <row r="54" spans="1:9" x14ac:dyDescent="0.25">
      <c r="A54" t="s">
        <v>56</v>
      </c>
      <c r="B54" s="2">
        <v>1459</v>
      </c>
      <c r="C54" s="2">
        <v>1499</v>
      </c>
      <c r="D54" s="1">
        <v>0.03</v>
      </c>
      <c r="G54" s="2">
        <f t="shared" si="1"/>
        <v>40</v>
      </c>
      <c r="H54" t="str">
        <f t="shared" si="3"/>
        <v/>
      </c>
      <c r="I54" t="str">
        <f t="shared" si="2"/>
        <v>Low Discount</v>
      </c>
    </row>
    <row r="55" spans="1:9" x14ac:dyDescent="0.25">
      <c r="A55" t="s">
        <v>57</v>
      </c>
      <c r="B55" s="2">
        <v>799</v>
      </c>
      <c r="C55" s="2">
        <v>1343</v>
      </c>
      <c r="D55" s="1">
        <v>0.41</v>
      </c>
      <c r="G55" s="2">
        <f t="shared" si="1"/>
        <v>544</v>
      </c>
      <c r="H55" t="str">
        <f t="shared" si="3"/>
        <v/>
      </c>
      <c r="I55" t="str">
        <f t="shared" si="2"/>
        <v>High Discount</v>
      </c>
    </row>
    <row r="56" spans="1:9" x14ac:dyDescent="0.25">
      <c r="A56" t="s">
        <v>58</v>
      </c>
      <c r="B56" s="2">
        <v>499</v>
      </c>
      <c r="C56" s="2">
        <v>900</v>
      </c>
      <c r="D56" s="1">
        <v>0.45</v>
      </c>
      <c r="G56" s="2">
        <f t="shared" si="1"/>
        <v>401</v>
      </c>
      <c r="H56" t="str">
        <f t="shared" si="3"/>
        <v/>
      </c>
      <c r="I56" t="str">
        <f t="shared" si="2"/>
        <v>High Discount</v>
      </c>
    </row>
    <row r="57" spans="1:9" x14ac:dyDescent="0.25">
      <c r="A57" t="s">
        <v>59</v>
      </c>
      <c r="B57" s="2">
        <v>699</v>
      </c>
      <c r="C57" s="2">
        <v>1343</v>
      </c>
      <c r="D57" s="1">
        <v>0.48</v>
      </c>
      <c r="G57" s="2">
        <f t="shared" si="1"/>
        <v>644</v>
      </c>
      <c r="H57" t="str">
        <f t="shared" si="3"/>
        <v/>
      </c>
      <c r="I57" t="str">
        <f t="shared" si="2"/>
        <v>High Discount</v>
      </c>
    </row>
    <row r="58" spans="1:9" x14ac:dyDescent="0.25">
      <c r="A58" t="s">
        <v>60</v>
      </c>
      <c r="B58" s="2">
        <v>799</v>
      </c>
      <c r="C58" s="2">
        <v>1567</v>
      </c>
      <c r="D58" s="1">
        <v>0.49</v>
      </c>
      <c r="G58" s="2">
        <f t="shared" si="1"/>
        <v>768</v>
      </c>
      <c r="H58" t="str">
        <f t="shared" si="3"/>
        <v/>
      </c>
      <c r="I58" t="str">
        <f t="shared" si="2"/>
        <v>High Discount</v>
      </c>
    </row>
    <row r="59" spans="1:9" x14ac:dyDescent="0.25">
      <c r="A59" t="s">
        <v>61</v>
      </c>
      <c r="B59" s="2">
        <v>2799</v>
      </c>
      <c r="C59" s="2">
        <v>3810</v>
      </c>
      <c r="D59" s="1">
        <v>0.27</v>
      </c>
      <c r="G59" s="2">
        <f t="shared" si="1"/>
        <v>1011</v>
      </c>
      <c r="H59" t="str">
        <f t="shared" si="3"/>
        <v/>
      </c>
      <c r="I59" t="str">
        <f t="shared" si="2"/>
        <v>Medium Discount</v>
      </c>
    </row>
    <row r="60" spans="1:9" x14ac:dyDescent="0.25">
      <c r="A60" t="s">
        <v>58</v>
      </c>
      <c r="B60" s="2">
        <v>399</v>
      </c>
      <c r="C60" s="2">
        <v>896</v>
      </c>
      <c r="D60" s="1">
        <v>0.55000000000000004</v>
      </c>
      <c r="G60" s="2">
        <f t="shared" si="1"/>
        <v>497</v>
      </c>
      <c r="H60" t="str">
        <f t="shared" si="3"/>
        <v/>
      </c>
      <c r="I60" t="str">
        <f t="shared" si="2"/>
        <v>High Discount</v>
      </c>
    </row>
    <row r="61" spans="1:9" x14ac:dyDescent="0.25">
      <c r="A61" t="s">
        <v>62</v>
      </c>
      <c r="B61" s="2">
        <v>2170</v>
      </c>
      <c r="C61" s="2">
        <v>2500</v>
      </c>
      <c r="D61" s="1">
        <v>0.13</v>
      </c>
      <c r="E61">
        <v>6</v>
      </c>
      <c r="F61">
        <v>2.5</v>
      </c>
      <c r="G61" s="2">
        <f t="shared" si="1"/>
        <v>330</v>
      </c>
      <c r="H61" t="str">
        <f t="shared" si="3"/>
        <v/>
      </c>
      <c r="I61" t="str">
        <f t="shared" si="2"/>
        <v>Low Discount</v>
      </c>
    </row>
    <row r="62" spans="1:9" x14ac:dyDescent="0.25">
      <c r="A62" t="s">
        <v>63</v>
      </c>
      <c r="B62" s="2">
        <v>458</v>
      </c>
      <c r="C62" s="2">
        <v>986</v>
      </c>
      <c r="D62" s="1">
        <v>0.54</v>
      </c>
      <c r="E62">
        <v>10</v>
      </c>
      <c r="F62">
        <v>3</v>
      </c>
      <c r="G62" s="2">
        <f t="shared" si="1"/>
        <v>528</v>
      </c>
      <c r="H62" t="str">
        <f t="shared" si="3"/>
        <v>Average</v>
      </c>
      <c r="I62" t="str">
        <f t="shared" si="2"/>
        <v>High Discount</v>
      </c>
    </row>
    <row r="63" spans="1:9" x14ac:dyDescent="0.25">
      <c r="A63" t="s">
        <v>64</v>
      </c>
      <c r="B63" s="2">
        <v>2115</v>
      </c>
      <c r="C63" s="2">
        <v>4700</v>
      </c>
      <c r="D63" s="1">
        <v>0.55000000000000004</v>
      </c>
      <c r="E63">
        <v>13</v>
      </c>
      <c r="F63">
        <v>2.1</v>
      </c>
      <c r="G63" s="2">
        <f t="shared" si="1"/>
        <v>2585</v>
      </c>
      <c r="H63" t="str">
        <f t="shared" si="3"/>
        <v/>
      </c>
      <c r="I63" t="str">
        <f t="shared" si="2"/>
        <v>High Discount</v>
      </c>
    </row>
    <row r="64" spans="1:9" x14ac:dyDescent="0.25">
      <c r="A64" t="s">
        <v>65</v>
      </c>
      <c r="B64" s="2">
        <v>445</v>
      </c>
      <c r="C64" s="2">
        <v>873</v>
      </c>
      <c r="D64" s="1">
        <v>0.49</v>
      </c>
      <c r="E64">
        <v>69</v>
      </c>
      <c r="F64">
        <v>2.8</v>
      </c>
      <c r="G64" s="2">
        <f t="shared" si="1"/>
        <v>428</v>
      </c>
      <c r="H64" t="str">
        <f t="shared" si="3"/>
        <v/>
      </c>
      <c r="I64" t="str">
        <f t="shared" si="2"/>
        <v>High Discount</v>
      </c>
    </row>
    <row r="65" spans="1:9" x14ac:dyDescent="0.25">
      <c r="A65" t="s">
        <v>66</v>
      </c>
      <c r="B65" s="2">
        <v>325</v>
      </c>
      <c r="C65" s="2">
        <v>680</v>
      </c>
      <c r="D65" s="1">
        <v>0.52</v>
      </c>
      <c r="E65">
        <v>15</v>
      </c>
      <c r="F65">
        <v>2.7</v>
      </c>
      <c r="G65" s="2">
        <f t="shared" si="1"/>
        <v>355</v>
      </c>
      <c r="H65" t="str">
        <f t="shared" si="3"/>
        <v/>
      </c>
      <c r="I65" t="str">
        <f t="shared" si="2"/>
        <v>High Discount</v>
      </c>
    </row>
    <row r="66" spans="1:9" x14ac:dyDescent="0.25">
      <c r="A66" t="s">
        <v>67</v>
      </c>
      <c r="B66" s="2">
        <v>1220</v>
      </c>
      <c r="C66" s="2">
        <v>1555</v>
      </c>
      <c r="D66" s="1">
        <v>0.22</v>
      </c>
      <c r="E66">
        <v>16</v>
      </c>
      <c r="F66">
        <v>2.9</v>
      </c>
      <c r="G66" s="2">
        <f t="shared" si="1"/>
        <v>335</v>
      </c>
      <c r="H66" t="str">
        <f t="shared" ref="H66:H97" si="4">IF(F66=" "," ",IF(F66&lt;3,"",IF(F66&lt;4.5,"Average","Excellent")))</f>
        <v/>
      </c>
      <c r="I66" t="str">
        <f t="shared" si="2"/>
        <v>Medium Discount</v>
      </c>
    </row>
    <row r="67" spans="1:9" x14ac:dyDescent="0.25">
      <c r="A67" t="s">
        <v>68</v>
      </c>
      <c r="B67" s="2">
        <v>990</v>
      </c>
      <c r="C67" s="2">
        <v>1814</v>
      </c>
      <c r="D67" s="1">
        <v>0.45</v>
      </c>
      <c r="E67">
        <v>6</v>
      </c>
      <c r="F67">
        <v>2.2000000000000002</v>
      </c>
      <c r="G67" s="2">
        <f t="shared" ref="G67:G113" si="5">C67-B67</f>
        <v>824</v>
      </c>
      <c r="H67" t="str">
        <f t="shared" si="4"/>
        <v/>
      </c>
      <c r="I67" t="str">
        <f t="shared" ref="I67:I113" si="6">IF(D67&lt;20%,"Low Discount",IF(D67&gt;40%,"High Discount","Medium Discount"))</f>
        <v>High Discount</v>
      </c>
    </row>
    <row r="68" spans="1:9" x14ac:dyDescent="0.25">
      <c r="A68" t="s">
        <v>69</v>
      </c>
      <c r="B68" s="2">
        <v>1000</v>
      </c>
      <c r="C68" s="2">
        <v>2000</v>
      </c>
      <c r="D68" s="1">
        <v>0.5</v>
      </c>
      <c r="E68">
        <v>7</v>
      </c>
      <c r="F68">
        <v>2.2999999999999998</v>
      </c>
      <c r="G68" s="2">
        <f t="shared" si="5"/>
        <v>1000</v>
      </c>
      <c r="H68" t="str">
        <f t="shared" si="4"/>
        <v/>
      </c>
      <c r="I68" t="str">
        <f t="shared" si="6"/>
        <v>High Discount</v>
      </c>
    </row>
    <row r="69" spans="1:9" x14ac:dyDescent="0.25">
      <c r="A69" t="s">
        <v>70</v>
      </c>
      <c r="B69" s="2">
        <v>3750</v>
      </c>
      <c r="C69" s="2">
        <v>6143</v>
      </c>
      <c r="D69" s="1">
        <v>0.39</v>
      </c>
      <c r="E69">
        <v>5</v>
      </c>
      <c r="F69">
        <v>3</v>
      </c>
      <c r="G69" s="2">
        <f t="shared" si="5"/>
        <v>2393</v>
      </c>
      <c r="H69" t="str">
        <f t="shared" si="4"/>
        <v>Average</v>
      </c>
      <c r="I69" t="str">
        <f t="shared" si="6"/>
        <v>Medium Discount</v>
      </c>
    </row>
    <row r="70" spans="1:9" x14ac:dyDescent="0.25">
      <c r="A70" t="s">
        <v>71</v>
      </c>
      <c r="B70" s="2">
        <v>382</v>
      </c>
      <c r="C70" s="2">
        <v>700</v>
      </c>
      <c r="D70" s="1">
        <v>0.45</v>
      </c>
      <c r="E70">
        <v>17</v>
      </c>
      <c r="F70">
        <v>2.6</v>
      </c>
      <c r="G70" s="2">
        <f t="shared" si="5"/>
        <v>318</v>
      </c>
      <c r="H70" t="str">
        <f t="shared" si="4"/>
        <v/>
      </c>
      <c r="I70" t="str">
        <f t="shared" si="6"/>
        <v>High Discount</v>
      </c>
    </row>
    <row r="71" spans="1:9" x14ac:dyDescent="0.25">
      <c r="A71" t="s">
        <v>72</v>
      </c>
      <c r="B71" s="2">
        <v>2300</v>
      </c>
      <c r="C71" s="2">
        <v>3240</v>
      </c>
      <c r="D71" s="1">
        <v>0.28999999999999998</v>
      </c>
      <c r="E71">
        <v>5</v>
      </c>
      <c r="F71">
        <v>3</v>
      </c>
      <c r="G71" s="2">
        <f t="shared" si="5"/>
        <v>940</v>
      </c>
      <c r="H71" t="str">
        <f t="shared" si="4"/>
        <v>Average</v>
      </c>
      <c r="I71" t="str">
        <f t="shared" si="6"/>
        <v>Medium Discount</v>
      </c>
    </row>
    <row r="72" spans="1:9" x14ac:dyDescent="0.25">
      <c r="A72" t="s">
        <v>73</v>
      </c>
      <c r="B72" s="2">
        <v>345</v>
      </c>
      <c r="C72" s="2">
        <v>602</v>
      </c>
      <c r="D72" s="1">
        <v>0.43</v>
      </c>
      <c r="E72">
        <v>6</v>
      </c>
      <c r="F72">
        <v>2.2999999999999998</v>
      </c>
      <c r="G72" s="2">
        <f t="shared" si="5"/>
        <v>257</v>
      </c>
      <c r="H72" t="str">
        <f t="shared" si="4"/>
        <v/>
      </c>
      <c r="I72" t="str">
        <f t="shared" si="6"/>
        <v>High Discount</v>
      </c>
    </row>
    <row r="73" spans="1:9" x14ac:dyDescent="0.25">
      <c r="A73" t="s">
        <v>74</v>
      </c>
      <c r="B73" s="2">
        <v>509</v>
      </c>
      <c r="C73" s="2">
        <v>899</v>
      </c>
      <c r="D73" s="1">
        <v>0.43</v>
      </c>
      <c r="E73">
        <v>5</v>
      </c>
      <c r="F73">
        <v>3</v>
      </c>
      <c r="G73" s="2">
        <f t="shared" si="5"/>
        <v>390</v>
      </c>
      <c r="H73" t="str">
        <f t="shared" si="4"/>
        <v>Average</v>
      </c>
      <c r="I73" t="str">
        <f t="shared" si="6"/>
        <v>High Discount</v>
      </c>
    </row>
    <row r="74" spans="1:9" x14ac:dyDescent="0.25">
      <c r="A74" t="s">
        <v>75</v>
      </c>
      <c r="B74" s="2">
        <v>968</v>
      </c>
      <c r="C74" s="2">
        <v>1814</v>
      </c>
      <c r="D74" s="1">
        <v>0.47</v>
      </c>
      <c r="E74">
        <v>6</v>
      </c>
      <c r="F74">
        <v>2.2000000000000002</v>
      </c>
      <c r="G74" s="2">
        <f t="shared" si="5"/>
        <v>846</v>
      </c>
      <c r="H74" t="str">
        <f t="shared" si="4"/>
        <v/>
      </c>
      <c r="I74" t="str">
        <f t="shared" si="6"/>
        <v>High Discount</v>
      </c>
    </row>
    <row r="75" spans="1:9" x14ac:dyDescent="0.25">
      <c r="A75" t="s">
        <v>76</v>
      </c>
      <c r="B75" s="2">
        <v>1570</v>
      </c>
      <c r="C75" s="2">
        <v>2988</v>
      </c>
      <c r="D75" s="1">
        <v>0.47</v>
      </c>
      <c r="E75">
        <v>7</v>
      </c>
      <c r="F75">
        <v>2.1</v>
      </c>
      <c r="G75" s="2">
        <f t="shared" si="5"/>
        <v>1418</v>
      </c>
      <c r="H75" t="str">
        <f t="shared" si="4"/>
        <v/>
      </c>
      <c r="I75" t="str">
        <f t="shared" si="6"/>
        <v>High Discount</v>
      </c>
    </row>
    <row r="76" spans="1:9" x14ac:dyDescent="0.25">
      <c r="A76" t="s">
        <v>77</v>
      </c>
      <c r="B76" s="2">
        <v>790</v>
      </c>
      <c r="C76" s="2">
        <v>1485</v>
      </c>
      <c r="D76" s="1">
        <v>0.47</v>
      </c>
      <c r="G76" s="2">
        <f t="shared" si="5"/>
        <v>695</v>
      </c>
      <c r="H76" t="str">
        <f t="shared" si="4"/>
        <v/>
      </c>
      <c r="I76" t="str">
        <f t="shared" si="6"/>
        <v>High Discount</v>
      </c>
    </row>
    <row r="77" spans="1:9" x14ac:dyDescent="0.25">
      <c r="A77" t="s">
        <v>78</v>
      </c>
      <c r="B77" s="2">
        <v>690</v>
      </c>
      <c r="C77" s="2">
        <v>1200</v>
      </c>
      <c r="D77" s="1">
        <v>0.43</v>
      </c>
      <c r="G77" s="2">
        <f t="shared" si="5"/>
        <v>510</v>
      </c>
      <c r="H77" t="str">
        <f t="shared" si="4"/>
        <v/>
      </c>
      <c r="I77" t="str">
        <f t="shared" si="6"/>
        <v>High Discount</v>
      </c>
    </row>
    <row r="78" spans="1:9" x14ac:dyDescent="0.25">
      <c r="A78" t="s">
        <v>79</v>
      </c>
      <c r="B78" s="2">
        <v>1732</v>
      </c>
      <c r="C78" s="2">
        <v>1799</v>
      </c>
      <c r="D78" s="1">
        <v>0.04</v>
      </c>
      <c r="G78" s="2">
        <f t="shared" si="5"/>
        <v>67</v>
      </c>
      <c r="H78" t="str">
        <f t="shared" si="4"/>
        <v/>
      </c>
      <c r="I78" t="str">
        <f t="shared" si="6"/>
        <v>Low Discount</v>
      </c>
    </row>
    <row r="79" spans="1:9" x14ac:dyDescent="0.25">
      <c r="A79" t="s">
        <v>80</v>
      </c>
      <c r="B79" s="2">
        <v>230</v>
      </c>
      <c r="C79" s="2">
        <v>450</v>
      </c>
      <c r="D79" s="1">
        <v>0.49</v>
      </c>
      <c r="G79" s="2">
        <f t="shared" si="5"/>
        <v>220</v>
      </c>
      <c r="H79" t="str">
        <f t="shared" si="4"/>
        <v/>
      </c>
      <c r="I79" t="str">
        <f t="shared" si="6"/>
        <v>High Discount</v>
      </c>
    </row>
    <row r="80" spans="1:9" x14ac:dyDescent="0.25">
      <c r="A80" t="s">
        <v>81</v>
      </c>
      <c r="B80" s="2">
        <v>1189</v>
      </c>
      <c r="C80" s="2">
        <v>2199</v>
      </c>
      <c r="D80" s="1">
        <v>0.46</v>
      </c>
      <c r="E80">
        <v>1</v>
      </c>
      <c r="F80">
        <v>3</v>
      </c>
      <c r="G80" s="2">
        <f t="shared" si="5"/>
        <v>1010</v>
      </c>
      <c r="H80" t="str">
        <f t="shared" si="4"/>
        <v>Average</v>
      </c>
      <c r="I80" t="str">
        <f t="shared" si="6"/>
        <v>High Discount</v>
      </c>
    </row>
    <row r="81" spans="1:9" x14ac:dyDescent="0.25">
      <c r="A81" t="s">
        <v>82</v>
      </c>
      <c r="B81" s="2">
        <v>979</v>
      </c>
      <c r="C81" s="2">
        <v>1920</v>
      </c>
      <c r="D81" s="1">
        <v>0.49</v>
      </c>
      <c r="E81">
        <v>1</v>
      </c>
      <c r="F81">
        <v>5</v>
      </c>
      <c r="G81" s="2">
        <f t="shared" si="5"/>
        <v>941</v>
      </c>
      <c r="H81" t="str">
        <f t="shared" si="4"/>
        <v>Excellent</v>
      </c>
      <c r="I81" t="str">
        <f t="shared" si="6"/>
        <v>High Discount</v>
      </c>
    </row>
    <row r="82" spans="1:9" x14ac:dyDescent="0.25">
      <c r="A82" t="s">
        <v>83</v>
      </c>
      <c r="B82" s="2">
        <v>1460</v>
      </c>
      <c r="C82" s="2">
        <v>2290</v>
      </c>
      <c r="D82" s="1">
        <v>0.36</v>
      </c>
      <c r="G82" s="2">
        <f t="shared" si="5"/>
        <v>830</v>
      </c>
      <c r="H82" t="str">
        <f t="shared" si="4"/>
        <v/>
      </c>
      <c r="I82" t="str">
        <f t="shared" si="6"/>
        <v>Medium Discount</v>
      </c>
    </row>
    <row r="83" spans="1:9" x14ac:dyDescent="0.25">
      <c r="A83" t="s">
        <v>84</v>
      </c>
      <c r="B83" s="2">
        <v>1666</v>
      </c>
      <c r="C83" s="2">
        <v>1699</v>
      </c>
      <c r="D83" s="1">
        <v>0.02</v>
      </c>
      <c r="G83" s="2">
        <f t="shared" si="5"/>
        <v>33</v>
      </c>
      <c r="H83" t="str">
        <f t="shared" si="4"/>
        <v/>
      </c>
      <c r="I83" t="str">
        <f t="shared" si="6"/>
        <v>Low Discount</v>
      </c>
    </row>
    <row r="84" spans="1:9" x14ac:dyDescent="0.25">
      <c r="A84" t="s">
        <v>85</v>
      </c>
      <c r="B84" s="2">
        <v>330</v>
      </c>
      <c r="C84" s="2">
        <v>647</v>
      </c>
      <c r="D84" s="1">
        <v>0.49</v>
      </c>
      <c r="E84">
        <v>1</v>
      </c>
      <c r="F84">
        <v>4</v>
      </c>
      <c r="G84" s="2">
        <f t="shared" si="5"/>
        <v>317</v>
      </c>
      <c r="H84" t="str">
        <f t="shared" si="4"/>
        <v>Average</v>
      </c>
      <c r="I84" t="str">
        <f t="shared" si="6"/>
        <v>High Discount</v>
      </c>
    </row>
    <row r="85" spans="1:9" x14ac:dyDescent="0.25">
      <c r="A85" t="s">
        <v>52</v>
      </c>
      <c r="B85" s="2">
        <v>176</v>
      </c>
      <c r="C85" s="2">
        <v>345</v>
      </c>
      <c r="D85" s="1">
        <v>0.49</v>
      </c>
      <c r="G85" s="2">
        <f t="shared" si="5"/>
        <v>169</v>
      </c>
      <c r="H85" t="str">
        <f t="shared" si="4"/>
        <v/>
      </c>
      <c r="I85" t="str">
        <f t="shared" si="6"/>
        <v>High Discount</v>
      </c>
    </row>
    <row r="86" spans="1:9" x14ac:dyDescent="0.25">
      <c r="A86" t="s">
        <v>86</v>
      </c>
      <c r="B86" s="2">
        <v>1466</v>
      </c>
      <c r="C86" s="2">
        <v>1699</v>
      </c>
      <c r="D86" s="1">
        <v>0.14000000000000001</v>
      </c>
      <c r="G86" s="2">
        <f t="shared" si="5"/>
        <v>233</v>
      </c>
      <c r="H86" t="str">
        <f t="shared" si="4"/>
        <v/>
      </c>
      <c r="I86" t="str">
        <f t="shared" si="6"/>
        <v>Low Discount</v>
      </c>
    </row>
    <row r="87" spans="1:9" x14ac:dyDescent="0.25">
      <c r="A87" t="s">
        <v>87</v>
      </c>
      <c r="B87" s="2">
        <v>274</v>
      </c>
      <c r="C87" s="2">
        <v>537</v>
      </c>
      <c r="D87" s="1">
        <v>0.49</v>
      </c>
      <c r="G87" s="2">
        <f t="shared" si="5"/>
        <v>263</v>
      </c>
      <c r="H87" t="str">
        <f t="shared" si="4"/>
        <v/>
      </c>
      <c r="I87" t="str">
        <f t="shared" si="6"/>
        <v>High Discount</v>
      </c>
    </row>
    <row r="88" spans="1:9" x14ac:dyDescent="0.25">
      <c r="A88" t="s">
        <v>88</v>
      </c>
      <c r="B88" s="2">
        <v>799</v>
      </c>
      <c r="C88" s="2">
        <v>900</v>
      </c>
      <c r="D88" s="1">
        <v>0.11</v>
      </c>
      <c r="G88" s="2">
        <f t="shared" si="5"/>
        <v>101</v>
      </c>
      <c r="H88" t="str">
        <f t="shared" si="4"/>
        <v/>
      </c>
      <c r="I88" t="str">
        <f t="shared" si="6"/>
        <v>Low Discount</v>
      </c>
    </row>
    <row r="89" spans="1:9" x14ac:dyDescent="0.25">
      <c r="A89" t="s">
        <v>60</v>
      </c>
      <c r="B89" s="2">
        <v>657</v>
      </c>
      <c r="C89" s="2">
        <v>1288</v>
      </c>
      <c r="D89" s="1">
        <v>0.49</v>
      </c>
      <c r="G89" s="2">
        <f t="shared" si="5"/>
        <v>631</v>
      </c>
      <c r="H89" t="str">
        <f t="shared" si="4"/>
        <v/>
      </c>
      <c r="I89" t="str">
        <f t="shared" si="6"/>
        <v>High Discount</v>
      </c>
    </row>
    <row r="90" spans="1:9" x14ac:dyDescent="0.25">
      <c r="A90" t="s">
        <v>89</v>
      </c>
      <c r="B90" s="2">
        <v>1468</v>
      </c>
      <c r="C90" s="2">
        <v>1699</v>
      </c>
      <c r="D90" s="1">
        <v>0.14000000000000001</v>
      </c>
      <c r="G90" s="2">
        <f t="shared" si="5"/>
        <v>231</v>
      </c>
      <c r="H90" t="str">
        <f t="shared" si="4"/>
        <v/>
      </c>
      <c r="I90" t="str">
        <f t="shared" si="6"/>
        <v>Low Discount</v>
      </c>
    </row>
    <row r="91" spans="1:9" x14ac:dyDescent="0.25">
      <c r="A91" t="s">
        <v>90</v>
      </c>
      <c r="B91" s="2">
        <v>630</v>
      </c>
      <c r="C91" s="2">
        <v>1100</v>
      </c>
      <c r="D91" s="1">
        <v>0.43</v>
      </c>
      <c r="G91" s="2">
        <f t="shared" si="5"/>
        <v>470</v>
      </c>
      <c r="H91" t="str">
        <f t="shared" si="4"/>
        <v/>
      </c>
      <c r="I91" t="str">
        <f t="shared" si="6"/>
        <v>High Discount</v>
      </c>
    </row>
    <row r="92" spans="1:9" x14ac:dyDescent="0.25">
      <c r="A92" t="s">
        <v>91</v>
      </c>
      <c r="B92" s="2">
        <v>850</v>
      </c>
      <c r="C92" s="2">
        <v>1700</v>
      </c>
      <c r="D92" s="1">
        <v>0.5</v>
      </c>
      <c r="G92" s="2">
        <f t="shared" si="5"/>
        <v>850</v>
      </c>
      <c r="H92" t="str">
        <f t="shared" si="4"/>
        <v/>
      </c>
      <c r="I92" t="str">
        <f t="shared" si="6"/>
        <v>High Discount</v>
      </c>
    </row>
    <row r="93" spans="1:9" x14ac:dyDescent="0.25">
      <c r="A93" t="s">
        <v>92</v>
      </c>
      <c r="B93" s="2">
        <v>1300</v>
      </c>
      <c r="C93" s="2">
        <v>2500</v>
      </c>
      <c r="D93" s="1">
        <v>0.48</v>
      </c>
      <c r="G93" s="2">
        <f t="shared" si="5"/>
        <v>1200</v>
      </c>
      <c r="H93" t="str">
        <f t="shared" si="4"/>
        <v/>
      </c>
      <c r="I93" t="str">
        <f t="shared" si="6"/>
        <v>High Discount</v>
      </c>
    </row>
    <row r="94" spans="1:9" x14ac:dyDescent="0.25">
      <c r="A94" t="s">
        <v>93</v>
      </c>
      <c r="B94" s="2">
        <v>105</v>
      </c>
      <c r="C94" s="2">
        <v>200</v>
      </c>
      <c r="D94" s="1">
        <v>0.48</v>
      </c>
      <c r="G94" s="2">
        <f t="shared" si="5"/>
        <v>95</v>
      </c>
      <c r="H94" t="str">
        <f t="shared" si="4"/>
        <v/>
      </c>
      <c r="I94" t="str">
        <f t="shared" si="6"/>
        <v>High Discount</v>
      </c>
    </row>
    <row r="95" spans="1:9" x14ac:dyDescent="0.25">
      <c r="A95" t="s">
        <v>94</v>
      </c>
      <c r="B95" s="2">
        <v>899</v>
      </c>
      <c r="C95" s="2">
        <v>1699</v>
      </c>
      <c r="D95" s="1">
        <v>0.47</v>
      </c>
      <c r="G95" s="2">
        <f t="shared" si="5"/>
        <v>800</v>
      </c>
      <c r="H95" t="str">
        <f t="shared" si="4"/>
        <v/>
      </c>
      <c r="I95" t="str">
        <f t="shared" si="6"/>
        <v>High Discount</v>
      </c>
    </row>
    <row r="96" spans="1:9" x14ac:dyDescent="0.25">
      <c r="A96" t="s">
        <v>95</v>
      </c>
      <c r="B96" s="2">
        <v>1200</v>
      </c>
      <c r="C96" s="2">
        <v>2400</v>
      </c>
      <c r="D96" s="1">
        <v>0.5</v>
      </c>
      <c r="G96" s="2">
        <f t="shared" si="5"/>
        <v>1200</v>
      </c>
      <c r="H96" t="str">
        <f t="shared" si="4"/>
        <v/>
      </c>
      <c r="I96" t="str">
        <f t="shared" si="6"/>
        <v>High Discount</v>
      </c>
    </row>
    <row r="97" spans="1:9" x14ac:dyDescent="0.25">
      <c r="A97" t="s">
        <v>96</v>
      </c>
      <c r="B97" s="2">
        <v>1526</v>
      </c>
      <c r="C97" s="2">
        <v>1660</v>
      </c>
      <c r="D97" s="1">
        <v>0.08</v>
      </c>
      <c r="G97" s="2">
        <f t="shared" si="5"/>
        <v>134</v>
      </c>
      <c r="H97" t="str">
        <f t="shared" si="4"/>
        <v/>
      </c>
      <c r="I97" t="str">
        <f t="shared" si="6"/>
        <v>Low Discount</v>
      </c>
    </row>
    <row r="98" spans="1:9" x14ac:dyDescent="0.25">
      <c r="A98" t="s">
        <v>97</v>
      </c>
      <c r="B98" s="2">
        <v>1462</v>
      </c>
      <c r="C98" s="2">
        <v>1499</v>
      </c>
      <c r="D98" s="1">
        <v>0.02</v>
      </c>
      <c r="G98" s="2">
        <f t="shared" si="5"/>
        <v>37</v>
      </c>
      <c r="H98" t="str">
        <f t="shared" ref="H98:H111" si="7">IF(F98=" "," ",IF(F98&lt;3,"",IF(F98&lt;4.5,"Average","Excellent")))</f>
        <v/>
      </c>
      <c r="I98" t="str">
        <f t="shared" si="6"/>
        <v>Low Discount</v>
      </c>
    </row>
    <row r="99" spans="1:9" x14ac:dyDescent="0.25">
      <c r="A99" t="s">
        <v>98</v>
      </c>
      <c r="B99" s="2">
        <v>248</v>
      </c>
      <c r="C99" s="2">
        <v>486</v>
      </c>
      <c r="D99" s="1">
        <v>0.49</v>
      </c>
      <c r="G99" s="2">
        <f t="shared" si="5"/>
        <v>238</v>
      </c>
      <c r="H99" t="str">
        <f t="shared" si="7"/>
        <v/>
      </c>
      <c r="I99" t="str">
        <f t="shared" si="6"/>
        <v>High Discount</v>
      </c>
    </row>
    <row r="100" spans="1:9" x14ac:dyDescent="0.25">
      <c r="A100" t="s">
        <v>99</v>
      </c>
      <c r="B100" s="2">
        <v>3546</v>
      </c>
      <c r="C100" s="2">
        <v>3699</v>
      </c>
      <c r="D100" s="1">
        <v>0.04</v>
      </c>
      <c r="G100" s="2">
        <f t="shared" si="5"/>
        <v>153</v>
      </c>
      <c r="H100" t="str">
        <f t="shared" si="7"/>
        <v/>
      </c>
      <c r="I100" t="str">
        <f t="shared" si="6"/>
        <v>Low Discount</v>
      </c>
    </row>
    <row r="101" spans="1:9" x14ac:dyDescent="0.25">
      <c r="A101" t="s">
        <v>100</v>
      </c>
      <c r="B101" s="2">
        <v>525</v>
      </c>
      <c r="C101" s="2">
        <v>1029</v>
      </c>
      <c r="D101" s="1">
        <v>0.49</v>
      </c>
      <c r="G101" s="2">
        <f t="shared" si="5"/>
        <v>504</v>
      </c>
      <c r="H101" t="str">
        <f t="shared" si="7"/>
        <v/>
      </c>
      <c r="I101" t="str">
        <f t="shared" si="6"/>
        <v>High Discount</v>
      </c>
    </row>
    <row r="102" spans="1:9" x14ac:dyDescent="0.25">
      <c r="A102" t="s">
        <v>101</v>
      </c>
      <c r="B102" s="2">
        <v>1080</v>
      </c>
      <c r="C102" s="2">
        <v>1874</v>
      </c>
      <c r="D102" s="1">
        <v>0.42</v>
      </c>
      <c r="G102" s="2">
        <f t="shared" si="5"/>
        <v>794</v>
      </c>
      <c r="H102" t="str">
        <f t="shared" si="7"/>
        <v/>
      </c>
      <c r="I102" t="str">
        <f t="shared" si="6"/>
        <v>High Discount</v>
      </c>
    </row>
    <row r="103" spans="1:9" x14ac:dyDescent="0.25">
      <c r="A103" t="s">
        <v>102</v>
      </c>
      <c r="B103" s="2">
        <v>3640</v>
      </c>
      <c r="C103" s="2">
        <v>4588</v>
      </c>
      <c r="D103" s="1">
        <v>0.21</v>
      </c>
      <c r="E103">
        <v>1</v>
      </c>
      <c r="F103">
        <v>5</v>
      </c>
      <c r="G103" s="2">
        <f t="shared" si="5"/>
        <v>948</v>
      </c>
      <c r="H103" t="str">
        <f t="shared" si="7"/>
        <v>Excellent</v>
      </c>
      <c r="I103" t="str">
        <f t="shared" si="6"/>
        <v>Medium Discount</v>
      </c>
    </row>
    <row r="104" spans="1:9" x14ac:dyDescent="0.25">
      <c r="A104" t="s">
        <v>103</v>
      </c>
      <c r="B104" s="2">
        <v>1420</v>
      </c>
      <c r="C104" s="2">
        <v>2420</v>
      </c>
      <c r="D104" s="1">
        <v>0.41</v>
      </c>
      <c r="G104" s="2">
        <f t="shared" si="5"/>
        <v>1000</v>
      </c>
      <c r="H104" t="str">
        <f t="shared" si="7"/>
        <v/>
      </c>
      <c r="I104" t="str">
        <f t="shared" si="6"/>
        <v>High Discount</v>
      </c>
    </row>
    <row r="105" spans="1:9" x14ac:dyDescent="0.25">
      <c r="A105" t="s">
        <v>104</v>
      </c>
      <c r="B105" s="2">
        <v>1875</v>
      </c>
      <c r="C105" s="2">
        <v>1899</v>
      </c>
      <c r="D105" s="1">
        <v>0.01</v>
      </c>
      <c r="G105" s="2">
        <f t="shared" si="5"/>
        <v>24</v>
      </c>
      <c r="H105" t="str">
        <f t="shared" si="7"/>
        <v/>
      </c>
      <c r="I105" t="str">
        <f t="shared" si="6"/>
        <v>Low Discount</v>
      </c>
    </row>
    <row r="106" spans="1:9" x14ac:dyDescent="0.25">
      <c r="A106" t="s">
        <v>105</v>
      </c>
      <c r="B106" s="2">
        <v>198</v>
      </c>
      <c r="C106" s="2">
        <v>260</v>
      </c>
      <c r="D106" s="1">
        <v>0.24</v>
      </c>
      <c r="G106" s="2">
        <f t="shared" si="5"/>
        <v>62</v>
      </c>
      <c r="H106" t="str">
        <f t="shared" si="7"/>
        <v/>
      </c>
      <c r="I106" t="str">
        <f t="shared" si="6"/>
        <v>Medium Discount</v>
      </c>
    </row>
    <row r="107" spans="1:9" x14ac:dyDescent="0.25">
      <c r="A107" t="s">
        <v>106</v>
      </c>
      <c r="B107" s="2">
        <v>1150</v>
      </c>
      <c r="C107" s="2">
        <v>1737</v>
      </c>
      <c r="D107" s="1">
        <v>0.34</v>
      </c>
      <c r="G107" s="2">
        <f t="shared" si="5"/>
        <v>587</v>
      </c>
      <c r="H107" t="str">
        <f t="shared" si="7"/>
        <v/>
      </c>
      <c r="I107" t="str">
        <f t="shared" si="6"/>
        <v>Medium Discount</v>
      </c>
    </row>
    <row r="108" spans="1:9" x14ac:dyDescent="0.25">
      <c r="A108" t="s">
        <v>107</v>
      </c>
      <c r="B108" s="2">
        <v>1190</v>
      </c>
      <c r="C108" s="2">
        <v>1810</v>
      </c>
      <c r="D108" s="1">
        <v>0.34</v>
      </c>
      <c r="G108" s="2">
        <f t="shared" si="5"/>
        <v>620</v>
      </c>
      <c r="H108" t="str">
        <f t="shared" si="7"/>
        <v/>
      </c>
      <c r="I108" t="str">
        <f t="shared" si="6"/>
        <v>Medium Discount</v>
      </c>
    </row>
    <row r="109" spans="1:9" x14ac:dyDescent="0.25">
      <c r="A109" t="s">
        <v>108</v>
      </c>
      <c r="B109" s="2">
        <v>1658</v>
      </c>
      <c r="C109" s="2">
        <v>1699</v>
      </c>
      <c r="D109" s="1">
        <v>0.02</v>
      </c>
      <c r="G109" s="2">
        <f t="shared" si="5"/>
        <v>41</v>
      </c>
      <c r="H109" t="str">
        <f t="shared" si="7"/>
        <v/>
      </c>
      <c r="I109" t="str">
        <f t="shared" si="6"/>
        <v>Low Discount</v>
      </c>
    </row>
    <row r="110" spans="1:9" x14ac:dyDescent="0.25">
      <c r="A110" t="s">
        <v>109</v>
      </c>
      <c r="B110" s="2">
        <v>1768</v>
      </c>
      <c r="C110" s="2">
        <v>1799</v>
      </c>
      <c r="D110" s="1">
        <v>0.02</v>
      </c>
      <c r="G110" s="2">
        <f t="shared" si="5"/>
        <v>31</v>
      </c>
      <c r="H110" t="str">
        <f t="shared" si="7"/>
        <v/>
      </c>
      <c r="I110" t="str">
        <f t="shared" si="6"/>
        <v>Low Discount</v>
      </c>
    </row>
    <row r="111" spans="1:9" x14ac:dyDescent="0.25">
      <c r="A111" t="s">
        <v>110</v>
      </c>
      <c r="B111" s="2">
        <v>199</v>
      </c>
      <c r="C111" s="2">
        <v>553</v>
      </c>
      <c r="D111" s="1">
        <v>0.64</v>
      </c>
      <c r="G111" s="2">
        <f t="shared" si="5"/>
        <v>354</v>
      </c>
      <c r="H111" t="str">
        <f t="shared" si="7"/>
        <v/>
      </c>
      <c r="I111" t="str">
        <f t="shared" si="6"/>
        <v>High Discount</v>
      </c>
    </row>
    <row r="112" spans="1:9" x14ac:dyDescent="0.25">
      <c r="A112" t="s">
        <v>111</v>
      </c>
      <c r="B112" s="2">
        <v>450</v>
      </c>
      <c r="C112" s="2">
        <v>900</v>
      </c>
      <c r="D112" s="1">
        <v>0.5</v>
      </c>
      <c r="E112">
        <v>1</v>
      </c>
      <c r="F112">
        <v>2</v>
      </c>
      <c r="G112" s="2">
        <f t="shared" si="5"/>
        <v>450</v>
      </c>
      <c r="H112" t="s">
        <v>117</v>
      </c>
      <c r="I112" t="str">
        <f t="shared" si="6"/>
        <v>High Discount</v>
      </c>
    </row>
    <row r="113" spans="1:9" x14ac:dyDescent="0.25">
      <c r="A113" t="s">
        <v>112</v>
      </c>
      <c r="B113" s="2">
        <v>169</v>
      </c>
      <c r="C113" s="2">
        <v>320</v>
      </c>
      <c r="D113" s="1">
        <v>0.47</v>
      </c>
      <c r="G113" s="2">
        <f t="shared" si="5"/>
        <v>151</v>
      </c>
      <c r="H113" t="str">
        <f>IF(F113=" "," ",IF(F113&lt;3,"",IF(F113&lt;4.5,"Average","Excellent")))</f>
        <v/>
      </c>
      <c r="I113" t="str">
        <f t="shared" si="6"/>
        <v>High Discount</v>
      </c>
    </row>
    <row r="114" spans="1:9" x14ac:dyDescent="0.25">
      <c r="B114"/>
      <c r="E114" s="3"/>
    </row>
    <row r="115" spans="1:9" x14ac:dyDescent="0.25">
      <c r="B115"/>
      <c r="D115"/>
    </row>
    <row r="116" spans="1:9" x14ac:dyDescent="0.25">
      <c r="A116" t="s">
        <v>118</v>
      </c>
      <c r="B116"/>
      <c r="D116"/>
    </row>
    <row r="117" spans="1:9" x14ac:dyDescent="0.25">
      <c r="A117" t="s">
        <v>119</v>
      </c>
      <c r="B117" s="2">
        <f>AVERAGE(B2:B113)</f>
        <v>1188.5</v>
      </c>
    </row>
    <row r="118" spans="1:9" x14ac:dyDescent="0.25">
      <c r="A118" t="s">
        <v>120</v>
      </c>
      <c r="B118" s="2">
        <f>AVERAGE(C2:C113)</f>
        <v>1815.5714285714287</v>
      </c>
    </row>
    <row r="119" spans="1:9" x14ac:dyDescent="0.25">
      <c r="A119" t="s">
        <v>121</v>
      </c>
      <c r="B119" s="4">
        <f>AVERAGE(D2:D113)</f>
        <v>0.36776785714285715</v>
      </c>
    </row>
    <row r="120" spans="1:9" x14ac:dyDescent="0.25">
      <c r="A120" t="s">
        <v>122</v>
      </c>
      <c r="B120" s="2">
        <f>AVERAGE(F2:F113)</f>
        <v>3.8894736842105258</v>
      </c>
    </row>
    <row r="121" spans="1:9" x14ac:dyDescent="0.25">
      <c r="A121" t="s">
        <v>123</v>
      </c>
      <c r="B121" s="2" t="str">
        <f>INDEX(A1:A113,MATCH(MAX(B2:B113),B2:B113,0))</f>
        <v>380ML USB Rechargeable Portable Small Blenders And Juicers</v>
      </c>
    </row>
    <row r="122" spans="1:9" x14ac:dyDescent="0.25">
      <c r="A122" t="s">
        <v>124</v>
      </c>
      <c r="B122" s="2" t="str">
        <f>INDEX(A1:A113,MATCH(MIN(B2:B113),B2:B113,0))</f>
        <v>3D Waterproof EVA Plastic Shower Curtain 1.8*2Mtrs</v>
      </c>
    </row>
    <row r="123" spans="1:9" x14ac:dyDescent="0.25">
      <c r="B12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Disc % and Reviews</vt:lpstr>
      <vt:lpstr>Ratings and reviews</vt:lpstr>
      <vt:lpstr>Highest ratings product</vt:lpstr>
      <vt:lpstr>Lowest Rating Products</vt:lpstr>
      <vt:lpstr>Product With High Discount</vt:lpstr>
      <vt:lpstr>Products With Highest Review</vt:lpstr>
      <vt:lpstr>Dashboard</vt:lpstr>
      <vt:lpstr>Sheet5</vt:lpstr>
      <vt:lpstr>Excel_jumia_dataset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Santa</dc:creator>
  <cp:lastModifiedBy>ADMIN</cp:lastModifiedBy>
  <dcterms:created xsi:type="dcterms:W3CDTF">2026-06-11T17:59:55Z</dcterms:created>
  <dcterms:modified xsi:type="dcterms:W3CDTF">2026-06-12T12:13:07Z</dcterms:modified>
</cp:coreProperties>
</file>